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 activeTab="7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</sheets>
  <calcPr calcId="145621"/>
</workbook>
</file>

<file path=xl/calcChain.xml><?xml version="1.0" encoding="utf-8"?>
<calcChain xmlns="http://schemas.openxmlformats.org/spreadsheetml/2006/main">
  <c r="J25" i="8" l="1"/>
  <c r="I25" i="8"/>
  <c r="H25" i="8"/>
  <c r="G25" i="8"/>
  <c r="D26" i="8"/>
  <c r="E10" i="10" l="1"/>
  <c r="E7" i="10"/>
  <c r="D7" i="10"/>
  <c r="C10" i="10"/>
  <c r="C9" i="10"/>
  <c r="F53" i="9"/>
  <c r="C52" i="9" l="1"/>
  <c r="D52" i="9"/>
  <c r="E52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3" i="9"/>
  <c r="F52" i="9" l="1"/>
  <c r="I3" i="8"/>
  <c r="G3" i="8"/>
  <c r="H3" i="8" s="1"/>
  <c r="J3" i="8" s="1"/>
  <c r="G23" i="8" l="1"/>
  <c r="I21" i="8" l="1"/>
  <c r="I22" i="8"/>
  <c r="I23" i="8"/>
  <c r="I24" i="8"/>
  <c r="I17" i="8" l="1"/>
  <c r="G16" i="8"/>
  <c r="H16" i="8" s="1"/>
  <c r="J16" i="8" s="1"/>
  <c r="G14" i="8"/>
  <c r="H14" i="8" s="1"/>
  <c r="J14" i="8" s="1"/>
  <c r="F26" i="8"/>
  <c r="E26" i="8"/>
  <c r="H23" i="8"/>
  <c r="J23" i="8" s="1"/>
  <c r="G21" i="8"/>
  <c r="H21" i="8" s="1"/>
  <c r="J21" i="8" s="1"/>
  <c r="I20" i="8"/>
  <c r="G20" i="8"/>
  <c r="H20" i="8" s="1"/>
  <c r="J20" i="8" s="1"/>
  <c r="I19" i="8"/>
  <c r="G19" i="8"/>
  <c r="H19" i="8" s="1"/>
  <c r="J19" i="8" s="1"/>
  <c r="I18" i="8"/>
  <c r="G18" i="8"/>
  <c r="H18" i="8" s="1"/>
  <c r="J18" i="8" s="1"/>
  <c r="I16" i="8"/>
  <c r="I15" i="8"/>
  <c r="G15" i="8"/>
  <c r="H15" i="8" s="1"/>
  <c r="J15" i="8" s="1"/>
  <c r="I14" i="8"/>
  <c r="I13" i="8"/>
  <c r="G13" i="8"/>
  <c r="H13" i="8" s="1"/>
  <c r="J13" i="8" s="1"/>
  <c r="I12" i="8"/>
  <c r="G12" i="8"/>
  <c r="H12" i="8" s="1"/>
  <c r="J12" i="8" s="1"/>
  <c r="I11" i="8"/>
  <c r="G11" i="8"/>
  <c r="H11" i="8" s="1"/>
  <c r="J11" i="8" s="1"/>
  <c r="I10" i="8"/>
  <c r="G10" i="8"/>
  <c r="H10" i="8" s="1"/>
  <c r="J10" i="8" s="1"/>
  <c r="I9" i="8"/>
  <c r="G9" i="8"/>
  <c r="H9" i="8" s="1"/>
  <c r="J9" i="8" s="1"/>
  <c r="I8" i="8"/>
  <c r="G8" i="8"/>
  <c r="H8" i="8" s="1"/>
  <c r="J8" i="8" s="1"/>
  <c r="I7" i="8"/>
  <c r="G7" i="8"/>
  <c r="H7" i="8" s="1"/>
  <c r="J7" i="8" s="1"/>
  <c r="I6" i="8"/>
  <c r="G6" i="8"/>
  <c r="H6" i="8" s="1"/>
  <c r="J6" i="8" s="1"/>
  <c r="I5" i="8"/>
  <c r="G5" i="8"/>
  <c r="H5" i="8" s="1"/>
  <c r="J5" i="8" s="1"/>
  <c r="I4" i="8"/>
  <c r="G4" i="8"/>
  <c r="H4" i="8" s="1"/>
  <c r="J4" i="8" s="1"/>
  <c r="G17" i="8" l="1"/>
  <c r="H17" i="8" s="1"/>
  <c r="J17" i="8" s="1"/>
  <c r="G22" i="8"/>
  <c r="H22" i="8" s="1"/>
  <c r="J22" i="8" s="1"/>
  <c r="G24" i="8"/>
  <c r="H24" i="8" s="1"/>
  <c r="J24" i="8" s="1"/>
  <c r="K6" i="8" s="1"/>
  <c r="I26" i="8"/>
  <c r="M17" i="7"/>
  <c r="M10" i="7"/>
  <c r="M9" i="7"/>
  <c r="H26" i="8" l="1"/>
  <c r="G26" i="8"/>
  <c r="J26" i="8"/>
  <c r="H32" i="7"/>
  <c r="E25" i="7"/>
  <c r="J26" i="7" l="1"/>
  <c r="K27" i="7" l="1"/>
  <c r="C120" i="7"/>
  <c r="D120" i="7"/>
  <c r="H18" i="7" l="1"/>
  <c r="I18" i="7" s="1"/>
  <c r="H34" i="7"/>
  <c r="I34" i="7" s="1"/>
  <c r="K34" i="7" s="1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9" i="7"/>
  <c r="J30" i="7"/>
  <c r="J31" i="7"/>
  <c r="J32" i="7"/>
  <c r="J33" i="7"/>
  <c r="J34" i="7"/>
  <c r="J35" i="7"/>
  <c r="J36" i="7"/>
  <c r="J37" i="7"/>
  <c r="J4" i="7"/>
  <c r="E76" i="7"/>
  <c r="E94" i="7"/>
  <c r="E71" i="7"/>
  <c r="E72" i="7"/>
  <c r="E73" i="7"/>
  <c r="E74" i="7"/>
  <c r="E75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70" i="7"/>
  <c r="F38" i="7"/>
  <c r="E38" i="7"/>
  <c r="H5" i="7"/>
  <c r="I5" i="7" s="1"/>
  <c r="K5" i="7" s="1"/>
  <c r="H6" i="7"/>
  <c r="I6" i="7" s="1"/>
  <c r="K6" i="7" s="1"/>
  <c r="H7" i="7"/>
  <c r="I7" i="7" s="1"/>
  <c r="K7" i="7" s="1"/>
  <c r="H8" i="7"/>
  <c r="I8" i="7" s="1"/>
  <c r="K8" i="7" s="1"/>
  <c r="H9" i="7"/>
  <c r="I9" i="7" s="1"/>
  <c r="K9" i="7" s="1"/>
  <c r="H10" i="7"/>
  <c r="I10" i="7" s="1"/>
  <c r="K10" i="7" s="1"/>
  <c r="H11" i="7"/>
  <c r="I11" i="7" s="1"/>
  <c r="K11" i="7" s="1"/>
  <c r="H12" i="7"/>
  <c r="I12" i="7" s="1"/>
  <c r="K12" i="7" s="1"/>
  <c r="H13" i="7"/>
  <c r="I13" i="7" s="1"/>
  <c r="K13" i="7" s="1"/>
  <c r="H14" i="7"/>
  <c r="I14" i="7" s="1"/>
  <c r="K14" i="7" s="1"/>
  <c r="H15" i="7"/>
  <c r="I15" i="7" s="1"/>
  <c r="K15" i="7" s="1"/>
  <c r="H16" i="7"/>
  <c r="I16" i="7" s="1"/>
  <c r="K16" i="7" s="1"/>
  <c r="H17" i="7"/>
  <c r="I17" i="7" s="1"/>
  <c r="K17" i="7" s="1"/>
  <c r="H19" i="7"/>
  <c r="I19" i="7" s="1"/>
  <c r="K19" i="7" s="1"/>
  <c r="H20" i="7"/>
  <c r="I20" i="7" s="1"/>
  <c r="K20" i="7" s="1"/>
  <c r="H21" i="7"/>
  <c r="I21" i="7" s="1"/>
  <c r="K21" i="7" s="1"/>
  <c r="M21" i="7" s="1"/>
  <c r="H22" i="7"/>
  <c r="I22" i="7" s="1"/>
  <c r="K22" i="7" s="1"/>
  <c r="H23" i="7"/>
  <c r="I23" i="7" s="1"/>
  <c r="K23" i="7" s="1"/>
  <c r="H24" i="7"/>
  <c r="I24" i="7" s="1"/>
  <c r="K24" i="7" s="1"/>
  <c r="H25" i="7"/>
  <c r="I25" i="7" s="1"/>
  <c r="K25" i="7" s="1"/>
  <c r="H26" i="7"/>
  <c r="I26" i="7" s="1"/>
  <c r="K26" i="7" s="1"/>
  <c r="H27" i="7"/>
  <c r="H28" i="7"/>
  <c r="I28" i="7" s="1"/>
  <c r="K28" i="7" s="1"/>
  <c r="H29" i="7"/>
  <c r="I29" i="7" s="1"/>
  <c r="K29" i="7" s="1"/>
  <c r="H30" i="7"/>
  <c r="I30" i="7" s="1"/>
  <c r="K30" i="7" s="1"/>
  <c r="H31" i="7"/>
  <c r="I31" i="7" s="1"/>
  <c r="K31" i="7" s="1"/>
  <c r="I32" i="7"/>
  <c r="K32" i="7" s="1"/>
  <c r="H33" i="7"/>
  <c r="I33" i="7" s="1"/>
  <c r="K33" i="7" s="1"/>
  <c r="H35" i="7"/>
  <c r="I35" i="7" s="1"/>
  <c r="K35" i="7" s="1"/>
  <c r="M35" i="7" s="1"/>
  <c r="H36" i="7"/>
  <c r="I36" i="7" s="1"/>
  <c r="K36" i="7" s="1"/>
  <c r="H37" i="7"/>
  <c r="I37" i="7" s="1"/>
  <c r="K37" i="7" s="1"/>
  <c r="H4" i="7"/>
  <c r="I4" i="7" s="1"/>
  <c r="K4" i="7" s="1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13" i="7" l="1"/>
  <c r="M36" i="7"/>
  <c r="M22" i="7"/>
  <c r="J38" i="7"/>
  <c r="K18" i="7"/>
  <c r="K38" i="7" s="1"/>
  <c r="I38" i="7"/>
  <c r="E120" i="7"/>
  <c r="H38" i="7"/>
  <c r="G38" i="7"/>
  <c r="F25" i="6"/>
  <c r="S3" i="6" l="1"/>
  <c r="Q3" i="6"/>
  <c r="P3" i="6"/>
  <c r="O3" i="6"/>
  <c r="M3" i="6"/>
  <c r="F4" i="6"/>
  <c r="G4" i="6" s="1"/>
  <c r="I4" i="6" s="1"/>
  <c r="M4" i="6"/>
  <c r="O4" i="6" s="1"/>
  <c r="M5" i="6"/>
  <c r="P5" i="6" s="1"/>
  <c r="M6" i="6"/>
  <c r="P6" i="6" s="1"/>
  <c r="M7" i="6"/>
  <c r="P7" i="6" s="1"/>
  <c r="M8" i="6"/>
  <c r="P8" i="6" s="1"/>
  <c r="M9" i="6"/>
  <c r="P9" i="6" s="1"/>
  <c r="M10" i="6"/>
  <c r="P10" i="6" s="1"/>
  <c r="M11" i="6"/>
  <c r="P11" i="6" s="1"/>
  <c r="M12" i="6"/>
  <c r="P12" i="6" s="1"/>
  <c r="M13" i="6"/>
  <c r="P13" i="6" s="1"/>
  <c r="M14" i="6"/>
  <c r="P14" i="6" s="1"/>
  <c r="M15" i="6"/>
  <c r="P15" i="6" s="1"/>
  <c r="M16" i="6"/>
  <c r="O16" i="6" s="1"/>
  <c r="M17" i="6"/>
  <c r="P17" i="6" s="1"/>
  <c r="M18" i="6"/>
  <c r="P18" i="6" s="1"/>
  <c r="M19" i="6"/>
  <c r="P19" i="6" s="1"/>
  <c r="M20" i="6"/>
  <c r="P20" i="6" s="1"/>
  <c r="M21" i="6"/>
  <c r="P21" i="6" s="1"/>
  <c r="M22" i="6"/>
  <c r="P22" i="6" s="1"/>
  <c r="M23" i="6"/>
  <c r="P23" i="6" s="1"/>
  <c r="M24" i="6"/>
  <c r="P24" i="6" s="1"/>
  <c r="F24" i="6"/>
  <c r="G24" i="6" s="1"/>
  <c r="I24" i="6" s="1"/>
  <c r="F23" i="6"/>
  <c r="G23" i="6" s="1"/>
  <c r="I23" i="6" s="1"/>
  <c r="F22" i="6"/>
  <c r="G22" i="6" s="1"/>
  <c r="I22" i="6" s="1"/>
  <c r="F21" i="6"/>
  <c r="G21" i="6" s="1"/>
  <c r="I21" i="6" s="1"/>
  <c r="F20" i="6"/>
  <c r="G20" i="6" s="1"/>
  <c r="I20" i="6" s="1"/>
  <c r="F19" i="6"/>
  <c r="G19" i="6" s="1"/>
  <c r="I19" i="6" s="1"/>
  <c r="F18" i="6"/>
  <c r="G18" i="6" s="1"/>
  <c r="I18" i="6" s="1"/>
  <c r="F17" i="6"/>
  <c r="G17" i="6" s="1"/>
  <c r="I17" i="6" s="1"/>
  <c r="F16" i="6"/>
  <c r="G16" i="6" s="1"/>
  <c r="I16" i="6" s="1"/>
  <c r="F15" i="6"/>
  <c r="G15" i="6" s="1"/>
  <c r="I15" i="6" s="1"/>
  <c r="F14" i="6"/>
  <c r="G14" i="6" s="1"/>
  <c r="I14" i="6" s="1"/>
  <c r="F13" i="6"/>
  <c r="G13" i="6" s="1"/>
  <c r="I13" i="6" s="1"/>
  <c r="F12" i="6"/>
  <c r="G12" i="6" s="1"/>
  <c r="I12" i="6" s="1"/>
  <c r="F11" i="6"/>
  <c r="G11" i="6" s="1"/>
  <c r="I11" i="6" s="1"/>
  <c r="F10" i="6"/>
  <c r="G10" i="6" s="1"/>
  <c r="I10" i="6" s="1"/>
  <c r="F9" i="6"/>
  <c r="G9" i="6" s="1"/>
  <c r="I9" i="6" s="1"/>
  <c r="F8" i="6"/>
  <c r="G8" i="6" s="1"/>
  <c r="I8" i="6" s="1"/>
  <c r="F7" i="6"/>
  <c r="G7" i="6" s="1"/>
  <c r="I7" i="6" s="1"/>
  <c r="F6" i="6"/>
  <c r="G6" i="6" s="1"/>
  <c r="I6" i="6" s="1"/>
  <c r="F5" i="6"/>
  <c r="G5" i="6" s="1"/>
  <c r="I5" i="6" s="1"/>
  <c r="F3" i="6"/>
  <c r="G3" i="6" s="1"/>
  <c r="O20" i="6" l="1"/>
  <c r="Q20" i="6" s="1"/>
  <c r="S20" i="6" s="1"/>
  <c r="P16" i="6"/>
  <c r="Q16" i="6" s="1"/>
  <c r="S16" i="6" s="1"/>
  <c r="O23" i="6"/>
  <c r="Q23" i="6" s="1"/>
  <c r="S23" i="6" s="1"/>
  <c r="O15" i="6"/>
  <c r="Q15" i="6" s="1"/>
  <c r="S15" i="6" s="1"/>
  <c r="O7" i="6"/>
  <c r="Q7" i="6" s="1"/>
  <c r="S7" i="6" s="1"/>
  <c r="O22" i="6"/>
  <c r="Q22" i="6" s="1"/>
  <c r="S22" i="6" s="1"/>
  <c r="O18" i="6"/>
  <c r="Q18" i="6" s="1"/>
  <c r="S18" i="6" s="1"/>
  <c r="O14" i="6"/>
  <c r="Q14" i="6" s="1"/>
  <c r="S14" i="6" s="1"/>
  <c r="O10" i="6"/>
  <c r="Q10" i="6" s="1"/>
  <c r="S10" i="6" s="1"/>
  <c r="O6" i="6"/>
  <c r="Q6" i="6" s="1"/>
  <c r="S6" i="6" s="1"/>
  <c r="O24" i="6"/>
  <c r="Q24" i="6" s="1"/>
  <c r="S24" i="6" s="1"/>
  <c r="O12" i="6"/>
  <c r="Q12" i="6" s="1"/>
  <c r="S12" i="6" s="1"/>
  <c r="O8" i="6"/>
  <c r="Q8" i="6" s="1"/>
  <c r="S8" i="6" s="1"/>
  <c r="O19" i="6"/>
  <c r="Q19" i="6" s="1"/>
  <c r="S19" i="6" s="1"/>
  <c r="O11" i="6"/>
  <c r="Q11" i="6" s="1"/>
  <c r="S11" i="6" s="1"/>
  <c r="O21" i="6"/>
  <c r="Q21" i="6" s="1"/>
  <c r="S21" i="6" s="1"/>
  <c r="O17" i="6"/>
  <c r="Q17" i="6" s="1"/>
  <c r="S17" i="6" s="1"/>
  <c r="O13" i="6"/>
  <c r="Q13" i="6" s="1"/>
  <c r="S13" i="6" s="1"/>
  <c r="O9" i="6"/>
  <c r="Q9" i="6" s="1"/>
  <c r="S9" i="6" s="1"/>
  <c r="O5" i="6"/>
  <c r="Q5" i="6" s="1"/>
  <c r="S5" i="6" s="1"/>
  <c r="I3" i="6"/>
  <c r="E51" i="2"/>
  <c r="F51" i="2"/>
  <c r="G10" i="4"/>
  <c r="O34" i="5" l="1"/>
  <c r="O32" i="5"/>
  <c r="H25" i="5"/>
  <c r="E25" i="5"/>
  <c r="C25" i="5"/>
  <c r="I24" i="5"/>
  <c r="G24" i="5"/>
  <c r="F24" i="5"/>
  <c r="F23" i="5"/>
  <c r="G23" i="5" l="1"/>
  <c r="I23" i="5" s="1"/>
  <c r="F4" i="5"/>
  <c r="F5" i="5"/>
  <c r="F6" i="5"/>
  <c r="F7" i="5"/>
  <c r="F25" i="5" s="1"/>
  <c r="F8" i="5"/>
  <c r="F9" i="5"/>
  <c r="F10" i="5"/>
  <c r="F11" i="5"/>
  <c r="F12" i="5"/>
  <c r="F13" i="5"/>
  <c r="F14" i="5"/>
  <c r="G14" i="5" s="1"/>
  <c r="I14" i="5" s="1"/>
  <c r="F15" i="5"/>
  <c r="F16" i="5"/>
  <c r="F17" i="5"/>
  <c r="F18" i="5"/>
  <c r="F19" i="5"/>
  <c r="F20" i="5"/>
  <c r="F21" i="5"/>
  <c r="F22" i="5"/>
  <c r="F3" i="5"/>
  <c r="G3" i="5" s="1"/>
  <c r="I3" i="5" s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3" i="3"/>
  <c r="E54" i="4"/>
  <c r="E57" i="4" s="1"/>
  <c r="H51" i="4"/>
  <c r="D51" i="4"/>
  <c r="C51" i="4"/>
  <c r="G50" i="4"/>
  <c r="I50" i="4" s="1"/>
  <c r="I49" i="4"/>
  <c r="G49" i="4"/>
  <c r="G48" i="4"/>
  <c r="I48" i="4" s="1"/>
  <c r="I47" i="4"/>
  <c r="G47" i="4"/>
  <c r="G46" i="4"/>
  <c r="I46" i="4" s="1"/>
  <c r="I45" i="4"/>
  <c r="G45" i="4"/>
  <c r="G44" i="4"/>
  <c r="I44" i="4" s="1"/>
  <c r="I43" i="4"/>
  <c r="G43" i="4"/>
  <c r="G42" i="4"/>
  <c r="I42" i="4" s="1"/>
  <c r="I41" i="4"/>
  <c r="G40" i="4"/>
  <c r="I40" i="4" s="1"/>
  <c r="I39" i="4"/>
  <c r="G39" i="4"/>
  <c r="G38" i="4"/>
  <c r="I38" i="4" s="1"/>
  <c r="I37" i="4"/>
  <c r="G37" i="4"/>
  <c r="G36" i="4"/>
  <c r="I36" i="4" s="1"/>
  <c r="I35" i="4"/>
  <c r="G35" i="4"/>
  <c r="G34" i="4"/>
  <c r="I34" i="4" s="1"/>
  <c r="I33" i="4"/>
  <c r="G33" i="4"/>
  <c r="G32" i="4"/>
  <c r="I32" i="4" s="1"/>
  <c r="I31" i="4"/>
  <c r="G31" i="4"/>
  <c r="G30" i="4"/>
  <c r="I30" i="4" s="1"/>
  <c r="I29" i="4"/>
  <c r="G29" i="4"/>
  <c r="G28" i="4"/>
  <c r="I28" i="4" s="1"/>
  <c r="I27" i="4"/>
  <c r="G27" i="4"/>
  <c r="G26" i="4"/>
  <c r="I26" i="4" s="1"/>
  <c r="I25" i="4"/>
  <c r="G25" i="4"/>
  <c r="G24" i="4"/>
  <c r="I24" i="4" s="1"/>
  <c r="I23" i="4"/>
  <c r="G23" i="4"/>
  <c r="G22" i="4"/>
  <c r="I22" i="4" s="1"/>
  <c r="I21" i="4"/>
  <c r="G21" i="4"/>
  <c r="G20" i="4"/>
  <c r="I20" i="4" s="1"/>
  <c r="I19" i="4"/>
  <c r="G19" i="4"/>
  <c r="G18" i="4"/>
  <c r="I18" i="4" s="1"/>
  <c r="I17" i="4"/>
  <c r="G17" i="4"/>
  <c r="G16" i="4"/>
  <c r="I16" i="4" s="1"/>
  <c r="I15" i="4"/>
  <c r="G15" i="4"/>
  <c r="G14" i="4"/>
  <c r="I14" i="4" s="1"/>
  <c r="I13" i="4"/>
  <c r="G13" i="4"/>
  <c r="I12" i="4"/>
  <c r="I11" i="4"/>
  <c r="G11" i="4"/>
  <c r="I10" i="4"/>
  <c r="I9" i="4"/>
  <c r="G9" i="4"/>
  <c r="G8" i="4"/>
  <c r="I8" i="4" s="1"/>
  <c r="I7" i="4"/>
  <c r="G7" i="4"/>
  <c r="G6" i="4"/>
  <c r="I6" i="4" s="1"/>
  <c r="I5" i="4"/>
  <c r="G5" i="4"/>
  <c r="G4" i="4"/>
  <c r="I4" i="4" s="1"/>
  <c r="I3" i="4"/>
  <c r="G3" i="4"/>
  <c r="F51" i="3"/>
  <c r="E51" i="3"/>
  <c r="D51" i="3"/>
  <c r="C51" i="3"/>
  <c r="G18" i="5" l="1"/>
  <c r="I18" i="5" s="1"/>
  <c r="G13" i="5"/>
  <c r="I13" i="5" s="1"/>
  <c r="G10" i="5"/>
  <c r="I10" i="5" s="1"/>
  <c r="G21" i="5"/>
  <c r="I21" i="5" s="1"/>
  <c r="G17" i="5"/>
  <c r="I17" i="5" s="1"/>
  <c r="G7" i="5"/>
  <c r="I7" i="5" s="1"/>
  <c r="G22" i="5"/>
  <c r="I22" i="5" s="1"/>
  <c r="G6" i="5"/>
  <c r="I6" i="5" s="1"/>
  <c r="G20" i="5"/>
  <c r="I20" i="5" s="1"/>
  <c r="G16" i="5"/>
  <c r="I16" i="5" s="1"/>
  <c r="G12" i="5"/>
  <c r="I12" i="5" s="1"/>
  <c r="G9" i="5"/>
  <c r="I9" i="5" s="1"/>
  <c r="G5" i="5"/>
  <c r="I5" i="5" s="1"/>
  <c r="G19" i="5"/>
  <c r="G15" i="5"/>
  <c r="I15" i="5" s="1"/>
  <c r="G11" i="5"/>
  <c r="I11" i="5" s="1"/>
  <c r="G8" i="5"/>
  <c r="I8" i="5" s="1"/>
  <c r="G4" i="5"/>
  <c r="I4" i="5" s="1"/>
  <c r="I51" i="4"/>
  <c r="I53" i="4" s="1"/>
  <c r="G51" i="4"/>
  <c r="F4" i="1"/>
  <c r="F5" i="1"/>
  <c r="F6" i="1"/>
  <c r="F7" i="1"/>
  <c r="H7" i="1" s="1"/>
  <c r="F8" i="1"/>
  <c r="F9" i="1"/>
  <c r="F10" i="1"/>
  <c r="F11" i="1"/>
  <c r="H11" i="1" s="1"/>
  <c r="F12" i="1"/>
  <c r="F13" i="1"/>
  <c r="F14" i="1"/>
  <c r="F15" i="1"/>
  <c r="H15" i="1" s="1"/>
  <c r="F16" i="1"/>
  <c r="F17" i="1"/>
  <c r="F18" i="1"/>
  <c r="F19" i="1"/>
  <c r="H19" i="1" s="1"/>
  <c r="F20" i="1"/>
  <c r="F21" i="1"/>
  <c r="F22" i="1"/>
  <c r="F23" i="1"/>
  <c r="H23" i="1" s="1"/>
  <c r="F24" i="1"/>
  <c r="F25" i="1"/>
  <c r="F26" i="1"/>
  <c r="F27" i="1"/>
  <c r="H27" i="1" s="1"/>
  <c r="F28" i="1"/>
  <c r="F29" i="1"/>
  <c r="F30" i="1"/>
  <c r="F31" i="1"/>
  <c r="H31" i="1" s="1"/>
  <c r="F32" i="1"/>
  <c r="F33" i="1"/>
  <c r="F34" i="1"/>
  <c r="F35" i="1"/>
  <c r="H35" i="1" s="1"/>
  <c r="F36" i="1"/>
  <c r="F37" i="1"/>
  <c r="F38" i="1"/>
  <c r="F39" i="1"/>
  <c r="H39" i="1" s="1"/>
  <c r="F40" i="1"/>
  <c r="F41" i="1"/>
  <c r="F42" i="1"/>
  <c r="F43" i="1"/>
  <c r="H43" i="1" s="1"/>
  <c r="F44" i="1"/>
  <c r="F45" i="1"/>
  <c r="F46" i="1"/>
  <c r="F47" i="1"/>
  <c r="H47" i="1" s="1"/>
  <c r="F48" i="1"/>
  <c r="F49" i="1"/>
  <c r="F50" i="1"/>
  <c r="F3" i="1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4" i="2"/>
  <c r="G5" i="2"/>
  <c r="G6" i="2"/>
  <c r="G7" i="2"/>
  <c r="G8" i="2"/>
  <c r="G3" i="2"/>
  <c r="H4" i="1"/>
  <c r="H5" i="1"/>
  <c r="H6" i="1"/>
  <c r="H8" i="1"/>
  <c r="H9" i="1"/>
  <c r="H10" i="1"/>
  <c r="H12" i="1"/>
  <c r="H13" i="1"/>
  <c r="H14" i="1"/>
  <c r="H16" i="1"/>
  <c r="H17" i="1"/>
  <c r="H18" i="1"/>
  <c r="H20" i="1"/>
  <c r="H21" i="1"/>
  <c r="H22" i="1"/>
  <c r="H24" i="1"/>
  <c r="H25" i="1"/>
  <c r="H26" i="1"/>
  <c r="H28" i="1"/>
  <c r="H29" i="1"/>
  <c r="H30" i="1"/>
  <c r="H32" i="1"/>
  <c r="H33" i="1"/>
  <c r="H34" i="1"/>
  <c r="H36" i="1"/>
  <c r="H37" i="1"/>
  <c r="H38" i="1"/>
  <c r="H40" i="1"/>
  <c r="H41" i="1"/>
  <c r="H42" i="1"/>
  <c r="H44" i="1"/>
  <c r="H45" i="1"/>
  <c r="H46" i="1"/>
  <c r="H48" i="1"/>
  <c r="H49" i="1"/>
  <c r="H50" i="1"/>
  <c r="I19" i="5" l="1"/>
  <c r="I25" i="5" s="1"/>
  <c r="G25" i="5"/>
  <c r="P4" i="6"/>
  <c r="Q4" i="6" s="1"/>
  <c r="S4" i="6" s="1"/>
  <c r="I7" i="2"/>
  <c r="H51" i="2" l="1"/>
  <c r="E54" i="2" s="1"/>
  <c r="E57" i="2" s="1"/>
  <c r="D51" i="2"/>
  <c r="C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6" i="2"/>
  <c r="I5" i="2"/>
  <c r="I4" i="2"/>
  <c r="I3" i="2"/>
  <c r="G51" i="1"/>
  <c r="H3" i="1"/>
  <c r="G51" i="2" l="1"/>
  <c r="I51" i="2"/>
  <c r="I53" i="2" s="1"/>
  <c r="C51" i="1"/>
  <c r="D51" i="1"/>
  <c r="F51" i="1" l="1"/>
  <c r="H51" i="1"/>
</calcChain>
</file>

<file path=xl/sharedStrings.xml><?xml version="1.0" encoding="utf-8"?>
<sst xmlns="http://schemas.openxmlformats.org/spreadsheetml/2006/main" count="602" uniqueCount="137">
  <si>
    <t>S.N</t>
  </si>
  <si>
    <t>NAME OF MREMBER</t>
  </si>
  <si>
    <t>LOAN AMOUNT</t>
  </si>
  <si>
    <t>INTREST</t>
  </si>
  <si>
    <t>TOTAL TO PAY</t>
  </si>
  <si>
    <t>REMARK</t>
  </si>
  <si>
    <t>Anju Poudel</t>
  </si>
  <si>
    <t>Manju Thapa</t>
  </si>
  <si>
    <t>Ranjita Khanal</t>
  </si>
  <si>
    <t>Sangita Gyawali</t>
  </si>
  <si>
    <t>Maya Bhusal</t>
  </si>
  <si>
    <t>Arun Panthi</t>
  </si>
  <si>
    <t>Tika Saud</t>
  </si>
  <si>
    <t>Emkala Acharya</t>
  </si>
  <si>
    <t>Gita Ghimire</t>
  </si>
  <si>
    <t>Binita K C</t>
  </si>
  <si>
    <t>Uma Aryal</t>
  </si>
  <si>
    <t>Apil Pokhrel</t>
  </si>
  <si>
    <t>Niru Poudel</t>
  </si>
  <si>
    <t>Gita Khanal</t>
  </si>
  <si>
    <t>Sabina Bhandari</t>
  </si>
  <si>
    <t>Narendra Banjade</t>
  </si>
  <si>
    <t>Khageshwor Khanal</t>
  </si>
  <si>
    <t>Gopal Chhetri</t>
  </si>
  <si>
    <t>Dinesh Khanal</t>
  </si>
  <si>
    <t>Meena Bhandari</t>
  </si>
  <si>
    <t>Dhaniram Tharu</t>
  </si>
  <si>
    <t>Durga Prasad Adhuikari</t>
  </si>
  <si>
    <t>Sushila Acharya</t>
  </si>
  <si>
    <t>M. Salim jaat</t>
  </si>
  <si>
    <t>Raju Upaddhya</t>
  </si>
  <si>
    <t>Ganga Bhusal</t>
  </si>
  <si>
    <t>Shushila Khanal</t>
  </si>
  <si>
    <t>Laxmi Bhandari</t>
  </si>
  <si>
    <t>Chameli Tharu</t>
  </si>
  <si>
    <t>Shanta Khanal</t>
  </si>
  <si>
    <t>Ganesh Poudel</t>
  </si>
  <si>
    <t>Sandhya Khanal</t>
  </si>
  <si>
    <t>Suman Bakabal</t>
  </si>
  <si>
    <t>Prakash Kunwar</t>
  </si>
  <si>
    <t>Pawan B.K</t>
  </si>
  <si>
    <t>Lila Subedi</t>
  </si>
  <si>
    <t>Maheshwori Aryal</t>
  </si>
  <si>
    <t>Dinesh Bhusal</t>
  </si>
  <si>
    <t>Khim Kumari Subedi</t>
  </si>
  <si>
    <t>Kale Gharti</t>
  </si>
  <si>
    <t>Dhurba Chudali</t>
  </si>
  <si>
    <t>Sadananda Tiwari</t>
  </si>
  <si>
    <t>Saroj Tharu</t>
  </si>
  <si>
    <t>Kamala Sen Oli</t>
  </si>
  <si>
    <t>Omkala  Kandel</t>
  </si>
  <si>
    <t>Basanta Khanal</t>
  </si>
  <si>
    <t>Days</t>
  </si>
  <si>
    <t>Om Prakash Poudel</t>
  </si>
  <si>
    <t>3 Month saving</t>
  </si>
  <si>
    <t>Principle Ammount</t>
  </si>
  <si>
    <t>privious intrest</t>
  </si>
  <si>
    <t>Magh  to Chaitra Saving 2081-12-30</t>
  </si>
  <si>
    <t>stationary kharcha</t>
  </si>
  <si>
    <t>Bibek Khanal</t>
  </si>
  <si>
    <t xml:space="preserve">total saving </t>
  </si>
  <si>
    <t xml:space="preserve"> intrest  from member Chaitra</t>
  </si>
  <si>
    <t xml:space="preserve"> intrest  from member Asar</t>
  </si>
  <si>
    <t>Total amount</t>
  </si>
  <si>
    <t>`</t>
  </si>
  <si>
    <t xml:space="preserve">Principal </t>
  </si>
  <si>
    <t xml:space="preserve">LOAN </t>
  </si>
  <si>
    <t>RKS</t>
  </si>
  <si>
    <t>क्रस</t>
  </si>
  <si>
    <t>कर्मचारीको नामथर</t>
  </si>
  <si>
    <t>बचत तर्फ</t>
  </si>
  <si>
    <t>कर्जा तर्फ</t>
  </si>
  <si>
    <t>कैफियत</t>
  </si>
  <si>
    <t>अघिल्लो महिनासंमको बचत</t>
  </si>
  <si>
    <t>(क) यस महिनामा हुने बचत</t>
  </si>
  <si>
    <t>कुल कर्जा</t>
  </si>
  <si>
    <t>यस त्रैमासिकमा बुझाउने किस्ता</t>
  </si>
  <si>
    <t>बाकी रहने कर्जा</t>
  </si>
  <si>
    <t>यस  त्रैमासिकमा बुझाउनु पर्ने व्याज</t>
  </si>
  <si>
    <t>यस त्रैमासिकमा बुझाउनु पर्ने जम्मा रकम</t>
  </si>
  <si>
    <t>Total</t>
  </si>
  <si>
    <t>दिन</t>
  </si>
  <si>
    <t>Apil pokhrel</t>
  </si>
  <si>
    <t>यस त्रैमासिकमा बुझाउनु पर्ने बचत</t>
  </si>
  <si>
    <t xml:space="preserve">किस्ता + ब्याज </t>
  </si>
  <si>
    <t>यस त्रैमासिकमा बुझाउनु पर्ने रकम</t>
  </si>
  <si>
    <t>Hum Bdr. Kunwar</t>
  </si>
  <si>
    <t>Anju Panthi</t>
  </si>
  <si>
    <t>Geeta Khanal</t>
  </si>
  <si>
    <t>Khageshwwor Khanal</t>
  </si>
  <si>
    <t>Durga Prasad Adhikari</t>
  </si>
  <si>
    <t>Shushila Acharya</t>
  </si>
  <si>
    <t>Khimkumari Subedi</t>
  </si>
  <si>
    <t>M. Salim Jaat</t>
  </si>
  <si>
    <t>Maheshwori Ghimire</t>
  </si>
  <si>
    <t>Basanta Banjade</t>
  </si>
  <si>
    <t xml:space="preserve">Kamal sen oli </t>
  </si>
  <si>
    <t>हाल सम्मको बचत</t>
  </si>
  <si>
    <t>shusila Khanal</t>
  </si>
  <si>
    <t>Narendra  Pd. Banjade</t>
  </si>
  <si>
    <t>Pawan B.k</t>
  </si>
  <si>
    <t xml:space="preserve">Laxmi Sharma </t>
  </si>
  <si>
    <t>Geeta Ghimire</t>
  </si>
  <si>
    <t>Bipana Tharu</t>
  </si>
  <si>
    <t>Pawan Bk</t>
  </si>
  <si>
    <t>Terminal Saving</t>
  </si>
  <si>
    <t>Total  P.A</t>
  </si>
  <si>
    <t>Laxmi Sharma</t>
  </si>
  <si>
    <t>यस त्रैमासिक मा बुझाउने किस्ता</t>
  </si>
  <si>
    <t>बाकी रहने ऋण</t>
  </si>
  <si>
    <t>जम्मा ऋण</t>
  </si>
  <si>
    <t>तिरेको ऋण</t>
  </si>
  <si>
    <t>कुल ऋण</t>
  </si>
  <si>
    <t xml:space="preserve">2082-09-30  गते सम्मको हिसाब </t>
  </si>
  <si>
    <t>जम्मा बजेट</t>
  </si>
  <si>
    <t>जम्मा लगानी</t>
  </si>
  <si>
    <t>manju</t>
  </si>
  <si>
    <t>sangita</t>
  </si>
  <si>
    <t>Dhaniram</t>
  </si>
  <si>
    <t>omkala</t>
  </si>
  <si>
    <t>saroj</t>
  </si>
  <si>
    <t>paid</t>
  </si>
  <si>
    <t>2082-09-30 गते सम्म</t>
  </si>
  <si>
    <t xml:space="preserve">  </t>
  </si>
  <si>
    <t xml:space="preserve">Terminal Saving </t>
  </si>
  <si>
    <t>Magh  to Chaitra Saving 2082-12-30</t>
  </si>
  <si>
    <t>30+30</t>
  </si>
  <si>
    <t>40+10</t>
  </si>
  <si>
    <t>24+10+25</t>
  </si>
  <si>
    <t>50+40+80</t>
  </si>
  <si>
    <t>Binita Adhikari</t>
  </si>
  <si>
    <t xml:space="preserve">2082-12-30  गते सम्मको हिसाब </t>
  </si>
  <si>
    <t>Total Ammount</t>
  </si>
  <si>
    <t>Previous Main Balance</t>
  </si>
  <si>
    <t>Terminal  Benefit Intrest /Per</t>
  </si>
  <si>
    <t xml:space="preserve">2081-12 </t>
  </si>
  <si>
    <t>Intrest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</si>
</sst>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2" borderId="1" xfId="0" applyFont="1" applyFill="1" applyBorder="1"/>
    <xf numFmtId="0" fontId="0" fillId="2" borderId="1" xfId="0" applyFont="1" applyFill="1" applyBorder="1" applyAlignment="1">
      <alignment horizontal="center"/>
    </xf>
    <xf numFmtId="164" fontId="0" fillId="2" borderId="1" xfId="0" applyNumberFormat="1" applyFont="1" applyFill="1" applyBorder="1" applyAlignment="1">
      <alignment horizontal="center"/>
    </xf>
    <xf numFmtId="0" fontId="0" fillId="2" borderId="0" xfId="0" applyFont="1" applyFill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2" borderId="0" xfId="0" applyFill="1"/>
    <xf numFmtId="0" fontId="0" fillId="0" borderId="1" xfId="0" applyBorder="1" applyAlignment="1">
      <alignment horizontal="center" wrapText="1"/>
    </xf>
    <xf numFmtId="164" fontId="0" fillId="0" borderId="1" xfId="0" applyNumberFormat="1" applyBorder="1" applyAlignment="1">
      <alignment horizontal="center" wrapText="1"/>
    </xf>
    <xf numFmtId="164" fontId="2" fillId="0" borderId="0" xfId="0" applyNumberFormat="1" applyFont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0" fillId="3" borderId="0" xfId="0" applyFill="1"/>
    <xf numFmtId="0" fontId="1" fillId="0" borderId="0" xfId="0" applyFont="1"/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3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/>
    <xf numFmtId="2" fontId="0" fillId="0" borderId="1" xfId="0" applyNumberFormat="1" applyBorder="1" applyAlignment="1">
      <alignment horizontal="center"/>
    </xf>
    <xf numFmtId="0" fontId="0" fillId="3" borderId="1" xfId="0" applyFont="1" applyFill="1" applyBorder="1"/>
    <xf numFmtId="0" fontId="6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/>
    </xf>
    <xf numFmtId="0" fontId="0" fillId="3" borderId="4" xfId="0" applyFill="1" applyBorder="1" applyAlignment="1">
      <alignment horizontal="center" vertical="center" wrapText="1"/>
    </xf>
    <xf numFmtId="2" fontId="0" fillId="3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Fill="1" applyBorder="1"/>
    <xf numFmtId="2" fontId="0" fillId="0" borderId="0" xfId="0" applyNumberFormat="1" applyBorder="1" applyAlignment="1">
      <alignment horizontal="center"/>
    </xf>
    <xf numFmtId="2" fontId="0" fillId="3" borderId="0" xfId="0" applyNumberFormat="1" applyFill="1" applyBorder="1" applyAlignment="1">
      <alignment horizontal="center"/>
    </xf>
    <xf numFmtId="0" fontId="6" fillId="3" borderId="0" xfId="0" applyFont="1" applyFill="1" applyBorder="1" applyAlignment="1">
      <alignment horizontal="center" vertical="top" wrapText="1"/>
    </xf>
    <xf numFmtId="0" fontId="0" fillId="0" borderId="0" xfId="0" applyBorder="1"/>
    <xf numFmtId="1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2" fontId="0" fillId="0" borderId="0" xfId="0" applyNumberFormat="1" applyAlignment="1">
      <alignment vertical="center"/>
    </xf>
    <xf numFmtId="0" fontId="0" fillId="0" borderId="4" xfId="0" applyBorder="1" applyAlignment="1">
      <alignment vertical="top"/>
    </xf>
    <xf numFmtId="0" fontId="6" fillId="3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/>
    </xf>
    <xf numFmtId="0" fontId="7" fillId="0" borderId="1" xfId="0" applyFont="1" applyFill="1" applyBorder="1"/>
    <xf numFmtId="0" fontId="8" fillId="3" borderId="1" xfId="0" applyFont="1" applyFill="1" applyBorder="1" applyAlignment="1">
      <alignment horizontal="center" vertical="top" wrapText="1"/>
    </xf>
    <xf numFmtId="2" fontId="7" fillId="0" borderId="1" xfId="0" applyNumberFormat="1" applyFont="1" applyBorder="1" applyAlignment="1">
      <alignment horizontal="center"/>
    </xf>
    <xf numFmtId="0" fontId="7" fillId="0" borderId="1" xfId="0" applyFont="1" applyBorder="1"/>
    <xf numFmtId="0" fontId="7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4" fontId="0" fillId="2" borderId="0" xfId="0" applyNumberFormat="1" applyFill="1" applyAlignment="1">
      <alignment horizontal="center"/>
    </xf>
    <xf numFmtId="2" fontId="9" fillId="0" borderId="1" xfId="0" applyNumberFormat="1" applyFont="1" applyBorder="1" applyAlignment="1">
      <alignment horizont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2" fontId="0" fillId="0" borderId="1" xfId="0" applyNumberForma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2" fontId="1" fillId="0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0" borderId="1" xfId="0" applyFont="1" applyBorder="1"/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/>
    </xf>
    <xf numFmtId="0" fontId="10" fillId="0" borderId="0" xfId="0" applyFont="1" applyAlignment="1">
      <alignment horizontal="center"/>
    </xf>
    <xf numFmtId="2" fontId="10" fillId="3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10" fillId="3" borderId="1" xfId="0" applyFont="1" applyFill="1" applyBorder="1"/>
    <xf numFmtId="0" fontId="10" fillId="0" borderId="1" xfId="0" applyFont="1" applyBorder="1" applyAlignment="1">
      <alignment horizontal="center"/>
    </xf>
    <xf numFmtId="2" fontId="10" fillId="0" borderId="1" xfId="0" applyNumberFormat="1" applyFont="1" applyBorder="1"/>
    <xf numFmtId="0" fontId="12" fillId="4" borderId="1" xfId="0" applyFont="1" applyFill="1" applyBorder="1"/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 vertical="center" wrapText="1"/>
    </xf>
    <xf numFmtId="2" fontId="12" fillId="4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/>
    <xf numFmtId="0" fontId="10" fillId="4" borderId="1" xfId="0" applyFont="1" applyFill="1" applyBorder="1"/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 vertical="center" wrapText="1"/>
    </xf>
    <xf numFmtId="2" fontId="10" fillId="4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/>
    <xf numFmtId="1" fontId="10" fillId="3" borderId="1" xfId="0" applyNumberFormat="1" applyFont="1" applyFill="1" applyBorder="1" applyAlignment="1">
      <alignment horizontal="center" vertical="center" wrapText="1"/>
    </xf>
    <xf numFmtId="2" fontId="10" fillId="2" borderId="1" xfId="0" applyNumberFormat="1" applyFont="1" applyFill="1" applyBorder="1"/>
    <xf numFmtId="0" fontId="10" fillId="0" borderId="0" xfId="0" applyFont="1"/>
    <xf numFmtId="0" fontId="9" fillId="0" borderId="1" xfId="0" applyFont="1" applyBorder="1" applyAlignment="1">
      <alignment horizontal="left"/>
    </xf>
    <xf numFmtId="0" fontId="9" fillId="0" borderId="1" xfId="0" applyFont="1" applyFill="1" applyBorder="1" applyAlignment="1">
      <alignment horizontal="center"/>
    </xf>
    <xf numFmtId="2" fontId="9" fillId="0" borderId="1" xfId="0" applyNumberFormat="1" applyFont="1" applyFill="1" applyBorder="1" applyAlignment="1">
      <alignment horizontal="center"/>
    </xf>
    <xf numFmtId="164" fontId="9" fillId="0" borderId="1" xfId="0" applyNumberFormat="1" applyFont="1" applyFill="1" applyBorder="1" applyAlignment="1">
      <alignment horizontal="center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wrapText="1"/>
    </xf>
    <xf numFmtId="0" fontId="9" fillId="0" borderId="1" xfId="0" applyFont="1" applyFill="1" applyBorder="1"/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10" fillId="0" borderId="5" xfId="0" applyFont="1" applyBorder="1" applyAlignment="1">
      <alignment horizontal="left" vertical="center" wrapText="1"/>
    </xf>
    <xf numFmtId="2" fontId="10" fillId="0" borderId="1" xfId="0" applyNumberFormat="1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0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/>
    <xf numFmtId="0" fontId="4" fillId="2" borderId="1" xfId="0" applyFont="1" applyFill="1" applyBorder="1"/>
    <xf numFmtId="0" fontId="4" fillId="0" borderId="1" xfId="0" applyFont="1" applyFill="1" applyBorder="1"/>
    <xf numFmtId="0" fontId="4" fillId="0" borderId="1" xfId="0" applyFont="1" applyBorder="1"/>
    <xf numFmtId="0" fontId="4" fillId="0" borderId="0" xfId="0" applyFont="1"/>
    <xf numFmtId="0" fontId="10" fillId="3" borderId="1" xfId="0" applyFont="1" applyFill="1" applyBorder="1" applyAlignment="1">
      <alignment horizontal="left" vertical="top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2" fontId="0" fillId="3" borderId="0" xfId="0" applyNumberFormat="1" applyFill="1"/>
    <xf numFmtId="2" fontId="0" fillId="0" borderId="0" xfId="0" applyNumberFormat="1" applyAlignment="1">
      <alignment horizontal="center"/>
    </xf>
    <xf numFmtId="2" fontId="1" fillId="0" borderId="0" xfId="0" applyNumberFormat="1" applyFont="1"/>
    <xf numFmtId="164" fontId="0" fillId="0" borderId="0" xfId="0" applyNumberFormat="1"/>
    <xf numFmtId="164" fontId="1" fillId="0" borderId="0" xfId="0" applyNumberFormat="1" applyFont="1"/>
    <xf numFmtId="2" fontId="1" fillId="0" borderId="4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0" fontId="14" fillId="0" borderId="0" xfId="0" applyFont="1" applyFill="1"/>
    <xf numFmtId="0" fontId="14" fillId="0" borderId="1" xfId="0" applyFont="1" applyFill="1" applyBorder="1"/>
    <xf numFmtId="0" fontId="14" fillId="0" borderId="1" xfId="0" applyFont="1" applyBorder="1" applyAlignment="1">
      <alignment wrapText="1"/>
    </xf>
    <xf numFmtId="0" fontId="14" fillId="0" borderId="1" xfId="0" applyFont="1" applyFill="1" applyBorder="1" applyAlignment="1">
      <alignment horizontal="center" wrapText="1"/>
    </xf>
    <xf numFmtId="0" fontId="14" fillId="0" borderId="1" xfId="0" applyFont="1" applyFill="1" applyBorder="1" applyAlignment="1">
      <alignment wrapText="1"/>
    </xf>
    <xf numFmtId="0" fontId="14" fillId="0" borderId="6" xfId="0" applyFont="1" applyFill="1" applyBorder="1" applyAlignment="1">
      <alignment wrapText="1"/>
    </xf>
    <xf numFmtId="164" fontId="14" fillId="0" borderId="1" xfId="0" applyNumberFormat="1" applyFont="1" applyFill="1" applyBorder="1" applyAlignment="1">
      <alignment horizontal="center"/>
    </xf>
    <xf numFmtId="0" fontId="14" fillId="0" borderId="1" xfId="0" applyFont="1" applyFill="1" applyBorder="1" applyAlignment="1">
      <alignment horizontal="center"/>
    </xf>
    <xf numFmtId="164" fontId="14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4" fillId="0" borderId="1" xfId="0" applyFont="1" applyBorder="1"/>
    <xf numFmtId="0" fontId="14" fillId="0" borderId="0" xfId="0" applyFont="1"/>
    <xf numFmtId="0" fontId="11" fillId="0" borderId="1" xfId="0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vertical="top" wrapText="1"/>
    </xf>
    <xf numFmtId="0" fontId="10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 wrapText="1"/>
    </xf>
    <xf numFmtId="2" fontId="10" fillId="3" borderId="1" xfId="0" applyNumberFormat="1" applyFont="1" applyFill="1" applyBorder="1" applyAlignment="1">
      <alignment horizontal="center" vertical="top" wrapText="1"/>
    </xf>
    <xf numFmtId="2" fontId="10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4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topLeftCell="A26" zoomScaleNormal="100" workbookViewId="0">
      <selection activeCell="F52" sqref="F52"/>
    </sheetView>
  </sheetViews>
  <sheetFormatPr defaultRowHeight="14.4" x14ac:dyDescent="0.3"/>
  <cols>
    <col min="1" max="1" width="4.5546875" customWidth="1"/>
    <col min="2" max="2" width="19.6640625" customWidth="1"/>
    <col min="3" max="3" width="11.6640625" style="3" customWidth="1"/>
    <col min="4" max="4" width="7.88671875" style="3" customWidth="1"/>
    <col min="5" max="5" width="5.5546875" style="3" customWidth="1"/>
    <col min="6" max="6" width="10.6640625" style="5" customWidth="1"/>
    <col min="7" max="7" width="12.6640625" style="5" customWidth="1"/>
    <col min="8" max="8" width="11.33203125" style="5" customWidth="1"/>
    <col min="9" max="9" width="4.6640625" customWidth="1"/>
  </cols>
  <sheetData>
    <row r="1" spans="1:9" x14ac:dyDescent="0.3">
      <c r="B1" s="175" t="s">
        <v>57</v>
      </c>
      <c r="C1" s="175"/>
      <c r="D1" s="175"/>
      <c r="E1" s="175"/>
      <c r="F1" s="175"/>
      <c r="G1" s="175"/>
      <c r="H1" s="175"/>
      <c r="I1" s="175"/>
    </row>
    <row r="2" spans="1:9" x14ac:dyDescent="0.3">
      <c r="A2" s="1" t="s">
        <v>0</v>
      </c>
      <c r="B2" s="1" t="s">
        <v>1</v>
      </c>
      <c r="C2" s="2" t="s">
        <v>65</v>
      </c>
      <c r="D2" s="24" t="s">
        <v>66</v>
      </c>
      <c r="E2" s="2" t="s">
        <v>52</v>
      </c>
      <c r="F2" s="4" t="s">
        <v>3</v>
      </c>
      <c r="G2" s="25" t="s">
        <v>54</v>
      </c>
      <c r="H2" s="26" t="s">
        <v>4</v>
      </c>
      <c r="I2" s="23" t="s">
        <v>67</v>
      </c>
    </row>
    <row r="3" spans="1:9" x14ac:dyDescent="0.3">
      <c r="A3" s="1">
        <v>1</v>
      </c>
      <c r="B3" s="1" t="s">
        <v>6</v>
      </c>
      <c r="C3" s="2">
        <v>10000</v>
      </c>
      <c r="D3" s="2">
        <v>0</v>
      </c>
      <c r="E3" s="2">
        <v>0</v>
      </c>
      <c r="F3" s="4">
        <f>(D3*10%/365*E3)</f>
        <v>0</v>
      </c>
      <c r="G3" s="4">
        <v>6000</v>
      </c>
      <c r="H3" s="4">
        <f>((D3/5)+F3+G3)</f>
        <v>6000</v>
      </c>
      <c r="I3" s="1"/>
    </row>
    <row r="4" spans="1:9" x14ac:dyDescent="0.3">
      <c r="A4" s="1">
        <v>2</v>
      </c>
      <c r="B4" s="1" t="s">
        <v>17</v>
      </c>
      <c r="C4" s="2">
        <v>10000</v>
      </c>
      <c r="D4" s="2">
        <v>0</v>
      </c>
      <c r="E4" s="2">
        <v>0</v>
      </c>
      <c r="F4" s="4">
        <f t="shared" ref="F4:F50" si="0">(D4*10%/365*E4)</f>
        <v>0</v>
      </c>
      <c r="G4" s="4">
        <v>6000</v>
      </c>
      <c r="H4" s="4">
        <f t="shared" ref="H4:H50" si="1">((D4/5)+F4+G4)</f>
        <v>6000</v>
      </c>
      <c r="I4" s="1"/>
    </row>
    <row r="5" spans="1:9" x14ac:dyDescent="0.3">
      <c r="A5" s="1">
        <v>3</v>
      </c>
      <c r="B5" s="1" t="s">
        <v>11</v>
      </c>
      <c r="C5" s="2">
        <v>10000</v>
      </c>
      <c r="D5" s="2">
        <v>0</v>
      </c>
      <c r="E5" s="2">
        <v>0</v>
      </c>
      <c r="F5" s="4">
        <f t="shared" si="0"/>
        <v>0</v>
      </c>
      <c r="G5" s="4">
        <v>6000</v>
      </c>
      <c r="H5" s="4">
        <f t="shared" si="1"/>
        <v>6000</v>
      </c>
      <c r="I5" s="1"/>
    </row>
    <row r="6" spans="1:9" x14ac:dyDescent="0.3">
      <c r="A6" s="1">
        <v>4</v>
      </c>
      <c r="B6" s="1" t="s">
        <v>51</v>
      </c>
      <c r="C6" s="2">
        <v>10000</v>
      </c>
      <c r="D6" s="2">
        <v>0</v>
      </c>
      <c r="E6" s="2">
        <v>0</v>
      </c>
      <c r="F6" s="4">
        <f t="shared" si="0"/>
        <v>0</v>
      </c>
      <c r="G6" s="4">
        <v>6000</v>
      </c>
      <c r="H6" s="4">
        <f t="shared" si="1"/>
        <v>6000</v>
      </c>
      <c r="I6" s="1"/>
    </row>
    <row r="7" spans="1:9" x14ac:dyDescent="0.3">
      <c r="A7" s="1">
        <v>5</v>
      </c>
      <c r="B7" s="1" t="s">
        <v>59</v>
      </c>
      <c r="C7" s="2">
        <v>10000</v>
      </c>
      <c r="D7" s="2">
        <v>0</v>
      </c>
      <c r="E7" s="2">
        <v>0</v>
      </c>
      <c r="F7" s="4">
        <f t="shared" si="0"/>
        <v>0</v>
      </c>
      <c r="G7" s="4">
        <v>6000</v>
      </c>
      <c r="H7" s="4">
        <f t="shared" si="1"/>
        <v>6000</v>
      </c>
      <c r="I7" s="1"/>
    </row>
    <row r="8" spans="1:9" s="14" customFormat="1" x14ac:dyDescent="0.3">
      <c r="A8" s="1">
        <v>6</v>
      </c>
      <c r="B8" s="11" t="s">
        <v>15</v>
      </c>
      <c r="C8" s="12">
        <v>10000</v>
      </c>
      <c r="D8" s="12">
        <v>50000</v>
      </c>
      <c r="E8" s="12">
        <v>59</v>
      </c>
      <c r="F8" s="13">
        <f t="shared" si="0"/>
        <v>808.21917808219177</v>
      </c>
      <c r="G8" s="13">
        <v>6000</v>
      </c>
      <c r="H8" s="13">
        <f t="shared" si="1"/>
        <v>16808.219178082192</v>
      </c>
      <c r="I8" s="11"/>
    </row>
    <row r="9" spans="1:9" x14ac:dyDescent="0.3">
      <c r="A9" s="1">
        <v>7</v>
      </c>
      <c r="B9" s="1" t="s">
        <v>34</v>
      </c>
      <c r="C9" s="2">
        <v>10000</v>
      </c>
      <c r="D9" s="2">
        <v>0</v>
      </c>
      <c r="E9" s="2">
        <v>0</v>
      </c>
      <c r="F9" s="4">
        <f t="shared" si="0"/>
        <v>0</v>
      </c>
      <c r="G9" s="4">
        <v>6000</v>
      </c>
      <c r="H9" s="4">
        <f t="shared" si="1"/>
        <v>6000</v>
      </c>
      <c r="I9" s="1"/>
    </row>
    <row r="10" spans="1:9" s="14" customFormat="1" x14ac:dyDescent="0.3">
      <c r="A10" s="1">
        <v>8</v>
      </c>
      <c r="B10" s="11" t="s">
        <v>26</v>
      </c>
      <c r="C10" s="12">
        <v>10000</v>
      </c>
      <c r="D10" s="12">
        <v>50000</v>
      </c>
      <c r="E10" s="12">
        <v>29</v>
      </c>
      <c r="F10" s="13">
        <f t="shared" si="0"/>
        <v>397.2602739726027</v>
      </c>
      <c r="G10" s="13">
        <v>6000</v>
      </c>
      <c r="H10" s="13">
        <f t="shared" si="1"/>
        <v>16397.260273972603</v>
      </c>
      <c r="I10" s="11"/>
    </row>
    <row r="11" spans="1:9" x14ac:dyDescent="0.3">
      <c r="A11" s="1">
        <v>9</v>
      </c>
      <c r="B11" s="1" t="s">
        <v>46</v>
      </c>
      <c r="C11" s="2">
        <v>10000</v>
      </c>
      <c r="D11" s="2">
        <v>0</v>
      </c>
      <c r="E11" s="2">
        <v>0</v>
      </c>
      <c r="F11" s="4">
        <f t="shared" si="0"/>
        <v>0</v>
      </c>
      <c r="G11" s="4">
        <v>6000</v>
      </c>
      <c r="H11" s="4">
        <f t="shared" si="1"/>
        <v>6000</v>
      </c>
      <c r="I11" s="1"/>
    </row>
    <row r="12" spans="1:9" s="14" customFormat="1" x14ac:dyDescent="0.3">
      <c r="A12" s="1">
        <v>10</v>
      </c>
      <c r="B12" s="11" t="s">
        <v>43</v>
      </c>
      <c r="C12" s="12">
        <v>10000</v>
      </c>
      <c r="D12" s="12">
        <v>50000</v>
      </c>
      <c r="E12" s="12">
        <v>34</v>
      </c>
      <c r="F12" s="13">
        <f t="shared" si="0"/>
        <v>465.75342465753425</v>
      </c>
      <c r="G12" s="13">
        <v>6000</v>
      </c>
      <c r="H12" s="13">
        <f t="shared" si="1"/>
        <v>16465.753424657534</v>
      </c>
      <c r="I12" s="11"/>
    </row>
    <row r="13" spans="1:9" x14ac:dyDescent="0.3">
      <c r="A13" s="1">
        <v>11</v>
      </c>
      <c r="B13" s="1" t="s">
        <v>24</v>
      </c>
      <c r="C13" s="2">
        <v>10000</v>
      </c>
      <c r="D13" s="2">
        <v>0</v>
      </c>
      <c r="E13" s="2">
        <v>0</v>
      </c>
      <c r="F13" s="4">
        <f t="shared" si="0"/>
        <v>0</v>
      </c>
      <c r="G13" s="4">
        <v>6000</v>
      </c>
      <c r="H13" s="4">
        <f t="shared" si="1"/>
        <v>6000</v>
      </c>
      <c r="I13" s="1"/>
    </row>
    <row r="14" spans="1:9" x14ac:dyDescent="0.3">
      <c r="A14" s="1">
        <v>12</v>
      </c>
      <c r="B14" s="1" t="s">
        <v>27</v>
      </c>
      <c r="C14" s="2">
        <v>10000</v>
      </c>
      <c r="D14" s="2">
        <v>0</v>
      </c>
      <c r="E14" s="2">
        <v>0</v>
      </c>
      <c r="F14" s="4">
        <f t="shared" si="0"/>
        <v>0</v>
      </c>
      <c r="G14" s="4">
        <v>6000</v>
      </c>
      <c r="H14" s="4">
        <f t="shared" si="1"/>
        <v>6000</v>
      </c>
      <c r="I14" s="1"/>
    </row>
    <row r="15" spans="1:9" x14ac:dyDescent="0.3">
      <c r="A15" s="1">
        <v>13</v>
      </c>
      <c r="B15" s="1" t="s">
        <v>13</v>
      </c>
      <c r="C15" s="2">
        <v>10000</v>
      </c>
      <c r="D15" s="2">
        <v>0</v>
      </c>
      <c r="E15" s="2">
        <v>0</v>
      </c>
      <c r="F15" s="4">
        <f t="shared" si="0"/>
        <v>0</v>
      </c>
      <c r="G15" s="4">
        <v>6000</v>
      </c>
      <c r="H15" s="4">
        <f t="shared" si="1"/>
        <v>6000</v>
      </c>
      <c r="I15" s="1"/>
    </row>
    <row r="16" spans="1:9" x14ac:dyDescent="0.3">
      <c r="A16" s="1">
        <v>14</v>
      </c>
      <c r="B16" s="1" t="s">
        <v>36</v>
      </c>
      <c r="C16" s="2">
        <v>10000</v>
      </c>
      <c r="D16" s="2">
        <v>0</v>
      </c>
      <c r="E16" s="2">
        <v>0</v>
      </c>
      <c r="F16" s="4">
        <f t="shared" si="0"/>
        <v>0</v>
      </c>
      <c r="G16" s="4">
        <v>6000</v>
      </c>
      <c r="H16" s="4">
        <f t="shared" si="1"/>
        <v>6000</v>
      </c>
      <c r="I16" s="1"/>
    </row>
    <row r="17" spans="1:9" x14ac:dyDescent="0.3">
      <c r="A17" s="1">
        <v>15</v>
      </c>
      <c r="B17" s="1" t="s">
        <v>31</v>
      </c>
      <c r="C17" s="2">
        <v>10000</v>
      </c>
      <c r="D17" s="2">
        <v>0</v>
      </c>
      <c r="E17" s="2">
        <v>0</v>
      </c>
      <c r="F17" s="4">
        <f t="shared" si="0"/>
        <v>0</v>
      </c>
      <c r="G17" s="4">
        <v>6000</v>
      </c>
      <c r="H17" s="4">
        <f t="shared" si="1"/>
        <v>6000</v>
      </c>
      <c r="I17" s="1"/>
    </row>
    <row r="18" spans="1:9" x14ac:dyDescent="0.3">
      <c r="A18" s="1">
        <v>16</v>
      </c>
      <c r="B18" s="1" t="s">
        <v>14</v>
      </c>
      <c r="C18" s="2">
        <v>10000</v>
      </c>
      <c r="D18" s="2">
        <v>0</v>
      </c>
      <c r="E18" s="2">
        <v>0</v>
      </c>
      <c r="F18" s="4">
        <f t="shared" si="0"/>
        <v>0</v>
      </c>
      <c r="G18" s="4">
        <v>6000</v>
      </c>
      <c r="H18" s="4">
        <f t="shared" si="1"/>
        <v>6000</v>
      </c>
      <c r="I18" s="1"/>
    </row>
    <row r="19" spans="1:9" x14ac:dyDescent="0.3">
      <c r="A19" s="1">
        <v>17</v>
      </c>
      <c r="B19" s="1" t="s">
        <v>19</v>
      </c>
      <c r="C19" s="2">
        <v>10000</v>
      </c>
      <c r="D19" s="2">
        <v>0</v>
      </c>
      <c r="E19" s="2">
        <v>0</v>
      </c>
      <c r="F19" s="4">
        <f t="shared" si="0"/>
        <v>0</v>
      </c>
      <c r="G19" s="4">
        <v>6000</v>
      </c>
      <c r="H19" s="4">
        <f t="shared" si="1"/>
        <v>6000</v>
      </c>
      <c r="I19" s="1"/>
    </row>
    <row r="20" spans="1:9" x14ac:dyDescent="0.3">
      <c r="A20" s="1">
        <v>18</v>
      </c>
      <c r="B20" s="1" t="s">
        <v>23</v>
      </c>
      <c r="C20" s="2">
        <v>10000</v>
      </c>
      <c r="D20" s="2">
        <v>0</v>
      </c>
      <c r="E20" s="2">
        <v>0</v>
      </c>
      <c r="F20" s="4">
        <f t="shared" si="0"/>
        <v>0</v>
      </c>
      <c r="G20" s="4">
        <v>6000</v>
      </c>
      <c r="H20" s="4">
        <f t="shared" si="1"/>
        <v>6000</v>
      </c>
      <c r="I20" s="1"/>
    </row>
    <row r="21" spans="1:9" s="14" customFormat="1" x14ac:dyDescent="0.3">
      <c r="A21" s="1">
        <v>19</v>
      </c>
      <c r="B21" s="11" t="s">
        <v>45</v>
      </c>
      <c r="C21" s="12">
        <v>10000</v>
      </c>
      <c r="D21" s="12">
        <v>50000</v>
      </c>
      <c r="E21" s="12">
        <v>26</v>
      </c>
      <c r="F21" s="13">
        <f t="shared" si="0"/>
        <v>356.16438356164383</v>
      </c>
      <c r="G21" s="13">
        <v>6000</v>
      </c>
      <c r="H21" s="13">
        <f t="shared" si="1"/>
        <v>16356.164383561643</v>
      </c>
      <c r="I21" s="11"/>
    </row>
    <row r="22" spans="1:9" x14ac:dyDescent="0.3">
      <c r="A22" s="1">
        <v>20</v>
      </c>
      <c r="B22" s="1" t="s">
        <v>49</v>
      </c>
      <c r="C22" s="2">
        <v>10000</v>
      </c>
      <c r="D22" s="2">
        <v>0</v>
      </c>
      <c r="E22" s="2">
        <v>0</v>
      </c>
      <c r="F22" s="4">
        <f t="shared" si="0"/>
        <v>0</v>
      </c>
      <c r="G22" s="4">
        <v>6000</v>
      </c>
      <c r="H22" s="4">
        <f t="shared" si="1"/>
        <v>6000</v>
      </c>
      <c r="I22" s="1"/>
    </row>
    <row r="23" spans="1:9" x14ac:dyDescent="0.3">
      <c r="A23" s="1">
        <v>21</v>
      </c>
      <c r="B23" s="1" t="s">
        <v>22</v>
      </c>
      <c r="C23" s="2">
        <v>10000</v>
      </c>
      <c r="D23" s="2">
        <v>0</v>
      </c>
      <c r="E23" s="2">
        <v>0</v>
      </c>
      <c r="F23" s="4">
        <f t="shared" si="0"/>
        <v>0</v>
      </c>
      <c r="G23" s="4">
        <v>6000</v>
      </c>
      <c r="H23" s="4">
        <f t="shared" si="1"/>
        <v>6000</v>
      </c>
      <c r="I23" s="1"/>
    </row>
    <row r="24" spans="1:9" x14ac:dyDescent="0.3">
      <c r="A24" s="1">
        <v>22</v>
      </c>
      <c r="B24" s="1" t="s">
        <v>44</v>
      </c>
      <c r="C24" s="2">
        <v>10000</v>
      </c>
      <c r="D24" s="2">
        <v>0</v>
      </c>
      <c r="E24" s="2">
        <v>0</v>
      </c>
      <c r="F24" s="4">
        <f t="shared" si="0"/>
        <v>0</v>
      </c>
      <c r="G24" s="4">
        <v>6000</v>
      </c>
      <c r="H24" s="4">
        <f t="shared" si="1"/>
        <v>6000</v>
      </c>
      <c r="I24" s="1"/>
    </row>
    <row r="25" spans="1:9" x14ac:dyDescent="0.3">
      <c r="A25" s="1">
        <v>23</v>
      </c>
      <c r="B25" s="1" t="s">
        <v>33</v>
      </c>
      <c r="C25" s="2">
        <v>10000</v>
      </c>
      <c r="D25" s="2">
        <v>0</v>
      </c>
      <c r="E25" s="2">
        <v>0</v>
      </c>
      <c r="F25" s="4">
        <f t="shared" si="0"/>
        <v>0</v>
      </c>
      <c r="G25" s="4">
        <v>6000</v>
      </c>
      <c r="H25" s="4">
        <f t="shared" si="1"/>
        <v>6000</v>
      </c>
      <c r="I25" s="1"/>
    </row>
    <row r="26" spans="1:9" x14ac:dyDescent="0.3">
      <c r="A26" s="1">
        <v>24</v>
      </c>
      <c r="B26" s="1" t="s">
        <v>41</v>
      </c>
      <c r="C26" s="2">
        <v>10000</v>
      </c>
      <c r="D26" s="2">
        <v>0</v>
      </c>
      <c r="E26" s="2">
        <v>0</v>
      </c>
      <c r="F26" s="4">
        <f t="shared" si="0"/>
        <v>0</v>
      </c>
      <c r="G26" s="4">
        <v>6000</v>
      </c>
      <c r="H26" s="4">
        <f t="shared" si="1"/>
        <v>6000</v>
      </c>
      <c r="I26" s="1"/>
    </row>
    <row r="27" spans="1:9" x14ac:dyDescent="0.3">
      <c r="A27" s="1">
        <v>25</v>
      </c>
      <c r="B27" s="1" t="s">
        <v>29</v>
      </c>
      <c r="C27" s="2">
        <v>10000</v>
      </c>
      <c r="D27" s="2">
        <v>0</v>
      </c>
      <c r="E27" s="2">
        <v>0</v>
      </c>
      <c r="F27" s="4">
        <f t="shared" si="0"/>
        <v>0</v>
      </c>
      <c r="G27" s="4">
        <v>6000</v>
      </c>
      <c r="H27" s="4">
        <f t="shared" si="1"/>
        <v>6000</v>
      </c>
      <c r="I27" s="1"/>
    </row>
    <row r="28" spans="1:9" x14ac:dyDescent="0.3">
      <c r="A28" s="1">
        <v>26</v>
      </c>
      <c r="B28" s="1" t="s">
        <v>42</v>
      </c>
      <c r="C28" s="2">
        <v>10000</v>
      </c>
      <c r="D28" s="2">
        <v>0</v>
      </c>
      <c r="E28" s="2">
        <v>0</v>
      </c>
      <c r="F28" s="4">
        <f t="shared" si="0"/>
        <v>0</v>
      </c>
      <c r="G28" s="4">
        <v>6000</v>
      </c>
      <c r="H28" s="4">
        <f t="shared" si="1"/>
        <v>6000</v>
      </c>
      <c r="I28" s="1"/>
    </row>
    <row r="29" spans="1:9" s="14" customFormat="1" x14ac:dyDescent="0.3">
      <c r="A29" s="1">
        <v>27</v>
      </c>
      <c r="B29" s="11" t="s">
        <v>7</v>
      </c>
      <c r="C29" s="12">
        <v>10000</v>
      </c>
      <c r="D29" s="12">
        <v>50000</v>
      </c>
      <c r="E29" s="12">
        <v>59</v>
      </c>
      <c r="F29" s="13">
        <f t="shared" si="0"/>
        <v>808.21917808219177</v>
      </c>
      <c r="G29" s="13">
        <v>6000</v>
      </c>
      <c r="H29" s="13">
        <f t="shared" si="1"/>
        <v>16808.219178082192</v>
      </c>
      <c r="I29" s="11"/>
    </row>
    <row r="30" spans="1:9" x14ac:dyDescent="0.3">
      <c r="A30" s="1">
        <v>28</v>
      </c>
      <c r="B30" s="1" t="s">
        <v>10</v>
      </c>
      <c r="C30" s="2">
        <v>10000</v>
      </c>
      <c r="D30" s="2">
        <v>0</v>
      </c>
      <c r="E30" s="2">
        <v>0</v>
      </c>
      <c r="F30" s="4">
        <f t="shared" si="0"/>
        <v>0</v>
      </c>
      <c r="G30" s="4">
        <v>6000</v>
      </c>
      <c r="H30" s="4">
        <f t="shared" si="1"/>
        <v>6000</v>
      </c>
      <c r="I30" s="1"/>
    </row>
    <row r="31" spans="1:9" x14ac:dyDescent="0.3">
      <c r="A31" s="1">
        <v>29</v>
      </c>
      <c r="B31" s="1" t="s">
        <v>25</v>
      </c>
      <c r="C31" s="2">
        <v>10000</v>
      </c>
      <c r="D31" s="2">
        <v>0</v>
      </c>
      <c r="E31" s="2">
        <v>0</v>
      </c>
      <c r="F31" s="4">
        <f t="shared" si="0"/>
        <v>0</v>
      </c>
      <c r="G31" s="4">
        <v>6000</v>
      </c>
      <c r="H31" s="4">
        <f t="shared" si="1"/>
        <v>6000</v>
      </c>
      <c r="I31" s="1"/>
    </row>
    <row r="32" spans="1:9" x14ac:dyDescent="0.3">
      <c r="A32" s="1">
        <v>30</v>
      </c>
      <c r="B32" s="1" t="s">
        <v>21</v>
      </c>
      <c r="C32" s="2">
        <v>10000</v>
      </c>
      <c r="D32" s="2">
        <v>0</v>
      </c>
      <c r="E32" s="2">
        <v>0</v>
      </c>
      <c r="F32" s="4">
        <f t="shared" si="0"/>
        <v>0</v>
      </c>
      <c r="G32" s="4">
        <v>6000</v>
      </c>
      <c r="H32" s="4">
        <f t="shared" si="1"/>
        <v>6000</v>
      </c>
      <c r="I32" s="1"/>
    </row>
    <row r="33" spans="1:9" x14ac:dyDescent="0.3">
      <c r="A33" s="1">
        <v>31</v>
      </c>
      <c r="B33" s="1" t="s">
        <v>18</v>
      </c>
      <c r="C33" s="2">
        <v>10000</v>
      </c>
      <c r="D33" s="2">
        <v>0</v>
      </c>
      <c r="E33" s="2">
        <v>0</v>
      </c>
      <c r="F33" s="4">
        <f t="shared" si="0"/>
        <v>0</v>
      </c>
      <c r="G33" s="4">
        <v>6000</v>
      </c>
      <c r="H33" s="4">
        <f t="shared" si="1"/>
        <v>6000</v>
      </c>
      <c r="I33" s="1"/>
    </row>
    <row r="34" spans="1:9" s="14" customFormat="1" x14ac:dyDescent="0.3">
      <c r="A34" s="1">
        <v>32</v>
      </c>
      <c r="B34" s="11" t="s">
        <v>53</v>
      </c>
      <c r="C34" s="12">
        <v>10000</v>
      </c>
      <c r="D34" s="12">
        <v>50000</v>
      </c>
      <c r="E34" s="12">
        <v>26</v>
      </c>
      <c r="F34" s="13">
        <f t="shared" si="0"/>
        <v>356.16438356164383</v>
      </c>
      <c r="G34" s="13">
        <v>6000</v>
      </c>
      <c r="H34" s="13">
        <f t="shared" si="1"/>
        <v>16356.164383561643</v>
      </c>
      <c r="I34" s="11"/>
    </row>
    <row r="35" spans="1:9" x14ac:dyDescent="0.3">
      <c r="A35" s="1">
        <v>33</v>
      </c>
      <c r="B35" s="1" t="s">
        <v>50</v>
      </c>
      <c r="C35" s="2">
        <v>10000</v>
      </c>
      <c r="D35" s="2">
        <v>0</v>
      </c>
      <c r="E35" s="2">
        <v>0</v>
      </c>
      <c r="F35" s="4">
        <f t="shared" si="0"/>
        <v>0</v>
      </c>
      <c r="G35" s="4">
        <v>6000</v>
      </c>
      <c r="H35" s="4">
        <f t="shared" si="1"/>
        <v>6000</v>
      </c>
      <c r="I35" s="1"/>
    </row>
    <row r="36" spans="1:9" x14ac:dyDescent="0.3">
      <c r="A36" s="1">
        <v>34</v>
      </c>
      <c r="B36" s="1" t="s">
        <v>40</v>
      </c>
      <c r="C36" s="2">
        <v>10000</v>
      </c>
      <c r="D36" s="2">
        <v>0</v>
      </c>
      <c r="E36" s="2">
        <v>0</v>
      </c>
      <c r="F36" s="4">
        <f t="shared" si="0"/>
        <v>0</v>
      </c>
      <c r="G36" s="4">
        <v>6000</v>
      </c>
      <c r="H36" s="4">
        <f t="shared" si="1"/>
        <v>6000</v>
      </c>
      <c r="I36" s="1"/>
    </row>
    <row r="37" spans="1:9" x14ac:dyDescent="0.3">
      <c r="A37" s="1">
        <v>35</v>
      </c>
      <c r="B37" s="1" t="s">
        <v>39</v>
      </c>
      <c r="C37" s="2">
        <v>10000</v>
      </c>
      <c r="D37" s="2">
        <v>0</v>
      </c>
      <c r="E37" s="2">
        <v>0</v>
      </c>
      <c r="F37" s="4">
        <f t="shared" si="0"/>
        <v>0</v>
      </c>
      <c r="G37" s="4">
        <v>6000</v>
      </c>
      <c r="H37" s="4">
        <f t="shared" si="1"/>
        <v>6000</v>
      </c>
      <c r="I37" s="1"/>
    </row>
    <row r="38" spans="1:9" s="14" customFormat="1" x14ac:dyDescent="0.3">
      <c r="A38" s="11">
        <v>36</v>
      </c>
      <c r="B38" s="11" t="s">
        <v>30</v>
      </c>
      <c r="C38" s="12">
        <v>10000</v>
      </c>
      <c r="D38" s="12">
        <v>50000</v>
      </c>
      <c r="E38" s="12">
        <v>17</v>
      </c>
      <c r="F38" s="13">
        <f t="shared" si="0"/>
        <v>232.87671232876713</v>
      </c>
      <c r="G38" s="13">
        <v>6000</v>
      </c>
      <c r="H38" s="13">
        <f t="shared" si="1"/>
        <v>16232.876712328767</v>
      </c>
      <c r="I38" s="11"/>
    </row>
    <row r="39" spans="1:9" s="14" customFormat="1" x14ac:dyDescent="0.3">
      <c r="A39" s="1">
        <v>37</v>
      </c>
      <c r="B39" s="11" t="s">
        <v>8</v>
      </c>
      <c r="C39" s="12">
        <v>10000</v>
      </c>
      <c r="D39" s="12">
        <v>17000</v>
      </c>
      <c r="E39" s="12">
        <v>26</v>
      </c>
      <c r="F39" s="13">
        <f t="shared" si="0"/>
        <v>121.0958904109589</v>
      </c>
      <c r="G39" s="13">
        <v>6000</v>
      </c>
      <c r="H39" s="13">
        <f t="shared" si="1"/>
        <v>9521.0958904109593</v>
      </c>
      <c r="I39" s="11"/>
    </row>
    <row r="40" spans="1:9" x14ac:dyDescent="0.3">
      <c r="A40" s="1">
        <v>38</v>
      </c>
      <c r="B40" s="1" t="s">
        <v>20</v>
      </c>
      <c r="C40" s="2">
        <v>10000</v>
      </c>
      <c r="D40" s="2">
        <v>0</v>
      </c>
      <c r="E40" s="2">
        <v>0</v>
      </c>
      <c r="F40" s="4">
        <f t="shared" si="0"/>
        <v>0</v>
      </c>
      <c r="G40" s="4">
        <v>6000</v>
      </c>
      <c r="H40" s="4">
        <f t="shared" si="1"/>
        <v>6000</v>
      </c>
      <c r="I40" s="1"/>
    </row>
    <row r="41" spans="1:9" s="10" customFormat="1" x14ac:dyDescent="0.3">
      <c r="A41" s="1">
        <v>39</v>
      </c>
      <c r="B41" s="7" t="s">
        <v>47</v>
      </c>
      <c r="C41" s="8">
        <v>10000</v>
      </c>
      <c r="D41" s="8">
        <v>50000</v>
      </c>
      <c r="E41" s="8">
        <v>15</v>
      </c>
      <c r="F41" s="13">
        <f t="shared" si="0"/>
        <v>205.47945205479451</v>
      </c>
      <c r="G41" s="9">
        <v>6000</v>
      </c>
      <c r="H41" s="13">
        <f t="shared" si="1"/>
        <v>16205.479452054795</v>
      </c>
      <c r="I41" s="7"/>
    </row>
    <row r="42" spans="1:9" x14ac:dyDescent="0.3">
      <c r="A42" s="1">
        <v>40</v>
      </c>
      <c r="B42" s="1" t="s">
        <v>37</v>
      </c>
      <c r="C42" s="2">
        <v>10000</v>
      </c>
      <c r="D42" s="2">
        <v>0</v>
      </c>
      <c r="E42" s="2">
        <v>0</v>
      </c>
      <c r="F42" s="4">
        <f t="shared" si="0"/>
        <v>0</v>
      </c>
      <c r="G42" s="4">
        <v>6000</v>
      </c>
      <c r="H42" s="4">
        <f t="shared" si="1"/>
        <v>6000</v>
      </c>
      <c r="I42" s="1"/>
    </row>
    <row r="43" spans="1:9" s="10" customFormat="1" x14ac:dyDescent="0.3">
      <c r="A43" s="1">
        <v>41</v>
      </c>
      <c r="B43" s="7" t="s">
        <v>9</v>
      </c>
      <c r="C43" s="8">
        <v>10000</v>
      </c>
      <c r="D43" s="8">
        <v>50000</v>
      </c>
      <c r="E43" s="8">
        <v>52</v>
      </c>
      <c r="F43" s="13">
        <f t="shared" si="0"/>
        <v>712.32876712328766</v>
      </c>
      <c r="G43" s="9">
        <v>6000</v>
      </c>
      <c r="H43" s="13">
        <f t="shared" si="1"/>
        <v>16712.32876712329</v>
      </c>
      <c r="I43" s="7"/>
    </row>
    <row r="44" spans="1:9" x14ac:dyDescent="0.3">
      <c r="A44" s="1">
        <v>42</v>
      </c>
      <c r="B44" s="1" t="s">
        <v>48</v>
      </c>
      <c r="C44" s="2">
        <v>10000</v>
      </c>
      <c r="D44" s="2">
        <v>0</v>
      </c>
      <c r="E44" s="2">
        <v>0</v>
      </c>
      <c r="F44" s="4">
        <f t="shared" si="0"/>
        <v>0</v>
      </c>
      <c r="G44" s="4">
        <v>6000</v>
      </c>
      <c r="H44" s="4">
        <f t="shared" si="1"/>
        <v>6000</v>
      </c>
      <c r="I44" s="1"/>
    </row>
    <row r="45" spans="1:9" x14ac:dyDescent="0.3">
      <c r="A45" s="1">
        <v>43</v>
      </c>
      <c r="B45" s="1" t="s">
        <v>35</v>
      </c>
      <c r="C45" s="2">
        <v>10000</v>
      </c>
      <c r="D45" s="2">
        <v>0</v>
      </c>
      <c r="E45" s="2">
        <v>0</v>
      </c>
      <c r="F45" s="4">
        <f t="shared" si="0"/>
        <v>0</v>
      </c>
      <c r="G45" s="4">
        <v>6000</v>
      </c>
      <c r="H45" s="4">
        <f t="shared" si="1"/>
        <v>6000</v>
      </c>
      <c r="I45" s="1"/>
    </row>
    <row r="46" spans="1:9" s="10" customFormat="1" x14ac:dyDescent="0.3">
      <c r="A46" s="1">
        <v>44</v>
      </c>
      <c r="B46" s="7" t="s">
        <v>32</v>
      </c>
      <c r="C46" s="8">
        <v>10000</v>
      </c>
      <c r="D46" s="8">
        <v>50000</v>
      </c>
      <c r="E46" s="8">
        <v>58</v>
      </c>
      <c r="F46" s="13">
        <f t="shared" si="0"/>
        <v>794.52054794520541</v>
      </c>
      <c r="G46" s="9">
        <v>6000</v>
      </c>
      <c r="H46" s="13">
        <f t="shared" si="1"/>
        <v>16794.520547945205</v>
      </c>
      <c r="I46" s="7"/>
    </row>
    <row r="47" spans="1:9" x14ac:dyDescent="0.3">
      <c r="A47" s="1">
        <v>45</v>
      </c>
      <c r="B47" s="1" t="s">
        <v>38</v>
      </c>
      <c r="C47" s="2">
        <v>10000</v>
      </c>
      <c r="D47" s="2">
        <v>0</v>
      </c>
      <c r="E47" s="2">
        <v>0</v>
      </c>
      <c r="F47" s="4">
        <f t="shared" si="0"/>
        <v>0</v>
      </c>
      <c r="G47" s="4">
        <v>6000</v>
      </c>
      <c r="H47" s="4">
        <f t="shared" si="1"/>
        <v>6000</v>
      </c>
      <c r="I47" s="1"/>
    </row>
    <row r="48" spans="1:9" x14ac:dyDescent="0.3">
      <c r="A48" s="1">
        <v>46</v>
      </c>
      <c r="B48" s="1" t="s">
        <v>28</v>
      </c>
      <c r="C48" s="2">
        <v>10000</v>
      </c>
      <c r="D48" s="2">
        <v>0</v>
      </c>
      <c r="E48" s="2">
        <v>0</v>
      </c>
      <c r="F48" s="4">
        <f t="shared" si="0"/>
        <v>0</v>
      </c>
      <c r="G48" s="4">
        <v>6000</v>
      </c>
      <c r="H48" s="4">
        <f t="shared" si="1"/>
        <v>6000</v>
      </c>
      <c r="I48" s="1"/>
    </row>
    <row r="49" spans="1:9" x14ac:dyDescent="0.3">
      <c r="A49" s="1">
        <v>47</v>
      </c>
      <c r="B49" s="1" t="s">
        <v>12</v>
      </c>
      <c r="C49" s="2">
        <v>10000</v>
      </c>
      <c r="D49" s="2">
        <v>0</v>
      </c>
      <c r="E49" s="2">
        <v>0</v>
      </c>
      <c r="F49" s="4">
        <f t="shared" si="0"/>
        <v>0</v>
      </c>
      <c r="G49" s="4">
        <v>6000</v>
      </c>
      <c r="H49" s="4">
        <f t="shared" si="1"/>
        <v>6000</v>
      </c>
      <c r="I49" s="1"/>
    </row>
    <row r="50" spans="1:9" x14ac:dyDescent="0.3">
      <c r="A50" s="1">
        <v>48</v>
      </c>
      <c r="B50" s="1" t="s">
        <v>16</v>
      </c>
      <c r="C50" s="2">
        <v>10000</v>
      </c>
      <c r="D50" s="2">
        <v>0</v>
      </c>
      <c r="E50" s="2">
        <v>0</v>
      </c>
      <c r="F50" s="4">
        <f t="shared" si="0"/>
        <v>0</v>
      </c>
      <c r="G50" s="4">
        <v>6000</v>
      </c>
      <c r="H50" s="4">
        <f t="shared" si="1"/>
        <v>6000</v>
      </c>
      <c r="I50" s="1"/>
    </row>
    <row r="51" spans="1:9" x14ac:dyDescent="0.3">
      <c r="C51" s="3">
        <f>SUM(C3:C50)</f>
        <v>480000</v>
      </c>
      <c r="D51" s="3">
        <f>SUM(D3:D50)</f>
        <v>517000</v>
      </c>
      <c r="F51" s="5">
        <f>SUM(F3:F50)</f>
        <v>5258.0821917808207</v>
      </c>
      <c r="G51" s="5">
        <f>SUM(G3:G50)</f>
        <v>288000</v>
      </c>
      <c r="H51" s="6">
        <f>SUM(H3:H50)</f>
        <v>396658.08219178079</v>
      </c>
    </row>
    <row r="52" spans="1:9" x14ac:dyDescent="0.3">
      <c r="F52" s="73">
        <v>4586.8</v>
      </c>
    </row>
  </sheetData>
  <sortState ref="A2:G48">
    <sortCondition ref="B2"/>
  </sortState>
  <mergeCells count="1">
    <mergeCell ref="B1:I1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7"/>
  <sheetViews>
    <sheetView topLeftCell="A26" workbookViewId="0">
      <selection activeCell="E54" sqref="E54"/>
    </sheetView>
  </sheetViews>
  <sheetFormatPr defaultRowHeight="14.4" x14ac:dyDescent="0.3"/>
  <cols>
    <col min="1" max="1" width="4.5546875" customWidth="1"/>
    <col min="2" max="2" width="21.109375" customWidth="1"/>
    <col min="3" max="3" width="14.6640625" style="3" customWidth="1"/>
    <col min="4" max="4" width="10.6640625" style="3" customWidth="1"/>
    <col min="5" max="5" width="11.88671875" style="5" customWidth="1"/>
    <col min="6" max="6" width="9" style="5" customWidth="1"/>
    <col min="7" max="7" width="10.109375" style="5" customWidth="1"/>
    <col min="8" max="8" width="11.77734375" customWidth="1"/>
    <col min="9" max="9" width="11" bestFit="1" customWidth="1"/>
  </cols>
  <sheetData>
    <row r="1" spans="1:10" x14ac:dyDescent="0.3">
      <c r="B1" s="175" t="s">
        <v>64</v>
      </c>
      <c r="C1" s="175"/>
      <c r="D1" s="175"/>
      <c r="E1" s="175"/>
      <c r="F1" s="175"/>
      <c r="G1" s="175"/>
      <c r="H1" s="175"/>
      <c r="I1" s="175"/>
      <c r="J1" s="175"/>
    </row>
    <row r="2" spans="1:10" ht="36" customHeight="1" x14ac:dyDescent="0.3">
      <c r="A2" s="1" t="s">
        <v>0</v>
      </c>
      <c r="B2" s="1" t="s">
        <v>1</v>
      </c>
      <c r="C2" s="15" t="s">
        <v>55</v>
      </c>
      <c r="D2" s="15" t="s">
        <v>2</v>
      </c>
      <c r="E2" s="2" t="s">
        <v>52</v>
      </c>
      <c r="F2" s="15" t="s">
        <v>56</v>
      </c>
      <c r="G2" s="4" t="s">
        <v>3</v>
      </c>
      <c r="H2" s="16" t="s">
        <v>54</v>
      </c>
      <c r="I2" s="16" t="s">
        <v>4</v>
      </c>
      <c r="J2" s="2" t="s">
        <v>5</v>
      </c>
    </row>
    <row r="3" spans="1:10" x14ac:dyDescent="0.3">
      <c r="A3" s="1">
        <v>1</v>
      </c>
      <c r="B3" s="1" t="s">
        <v>6</v>
      </c>
      <c r="C3" s="2">
        <v>16000</v>
      </c>
      <c r="D3" s="2">
        <v>0</v>
      </c>
      <c r="E3" s="2">
        <v>0</v>
      </c>
      <c r="F3" s="4">
        <v>0</v>
      </c>
      <c r="G3" s="4">
        <f>(D3*10%/365*E3)</f>
        <v>0</v>
      </c>
      <c r="H3" s="4">
        <v>6000</v>
      </c>
      <c r="I3" s="4">
        <f>((D3/5)+F3+G3+H3)</f>
        <v>6000</v>
      </c>
      <c r="J3" s="1"/>
    </row>
    <row r="4" spans="1:10" x14ac:dyDescent="0.3">
      <c r="A4" s="1">
        <v>2</v>
      </c>
      <c r="B4" s="1" t="s">
        <v>17</v>
      </c>
      <c r="C4" s="2">
        <v>16000</v>
      </c>
      <c r="D4" s="2">
        <v>0</v>
      </c>
      <c r="E4" s="2">
        <v>0</v>
      </c>
      <c r="F4" s="4">
        <v>0</v>
      </c>
      <c r="G4" s="4">
        <f t="shared" ref="G4:G50" si="0">(D4*10%/365*E4)</f>
        <v>0</v>
      </c>
      <c r="H4" s="4">
        <v>6000</v>
      </c>
      <c r="I4" s="4">
        <f>((D4/5)+F4+G4+H4)</f>
        <v>6000</v>
      </c>
      <c r="J4" s="1"/>
    </row>
    <row r="5" spans="1:10" x14ac:dyDescent="0.3">
      <c r="A5" s="1">
        <v>3</v>
      </c>
      <c r="B5" s="1" t="s">
        <v>11</v>
      </c>
      <c r="C5" s="2">
        <v>16000</v>
      </c>
      <c r="D5" s="2">
        <v>0</v>
      </c>
      <c r="E5" s="2">
        <v>0</v>
      </c>
      <c r="F5" s="4">
        <v>0</v>
      </c>
      <c r="G5" s="4">
        <f t="shared" si="0"/>
        <v>0</v>
      </c>
      <c r="H5" s="4">
        <v>6000</v>
      </c>
      <c r="I5" s="4">
        <f>((D5/5)+F5+G5+H5)</f>
        <v>6000</v>
      </c>
      <c r="J5" s="1"/>
    </row>
    <row r="6" spans="1:10" x14ac:dyDescent="0.3">
      <c r="A6" s="1">
        <v>4</v>
      </c>
      <c r="B6" s="1" t="s">
        <v>51</v>
      </c>
      <c r="C6" s="2">
        <v>16000</v>
      </c>
      <c r="D6" s="2">
        <v>0</v>
      </c>
      <c r="E6" s="2">
        <v>0</v>
      </c>
      <c r="F6" s="4">
        <v>0</v>
      </c>
      <c r="G6" s="4">
        <f t="shared" si="0"/>
        <v>0</v>
      </c>
      <c r="H6" s="4">
        <v>6000</v>
      </c>
      <c r="I6" s="4">
        <f>((D6/5)+F6+G6+H6)</f>
        <v>6000</v>
      </c>
      <c r="J6" s="1"/>
    </row>
    <row r="7" spans="1:10" x14ac:dyDescent="0.3">
      <c r="A7" s="1">
        <v>5</v>
      </c>
      <c r="B7" s="1" t="s">
        <v>59</v>
      </c>
      <c r="C7" s="2">
        <v>16000</v>
      </c>
      <c r="D7" s="2">
        <v>0</v>
      </c>
      <c r="E7" s="2">
        <v>0</v>
      </c>
      <c r="F7" s="4">
        <v>0</v>
      </c>
      <c r="G7" s="4">
        <f t="shared" si="0"/>
        <v>0</v>
      </c>
      <c r="H7" s="4">
        <v>6000</v>
      </c>
      <c r="I7" s="4">
        <f>((D7/5)+F7+G7+H7)</f>
        <v>6000</v>
      </c>
      <c r="J7" s="1"/>
    </row>
    <row r="8" spans="1:10" s="14" customFormat="1" x14ac:dyDescent="0.3">
      <c r="A8" s="11">
        <v>6</v>
      </c>
      <c r="B8" s="11" t="s">
        <v>15</v>
      </c>
      <c r="C8" s="12">
        <v>16000</v>
      </c>
      <c r="D8" s="12">
        <v>40000</v>
      </c>
      <c r="E8" s="12">
        <v>94</v>
      </c>
      <c r="F8" s="13">
        <v>0</v>
      </c>
      <c r="G8" s="13">
        <f t="shared" si="0"/>
        <v>1030.1369863013699</v>
      </c>
      <c r="H8" s="13">
        <v>6000</v>
      </c>
      <c r="I8" s="13">
        <f>((D8/4)+F8+G8+H8)</f>
        <v>17030.136986301368</v>
      </c>
      <c r="J8" s="11"/>
    </row>
    <row r="9" spans="1:10" x14ac:dyDescent="0.3">
      <c r="A9" s="1">
        <v>7</v>
      </c>
      <c r="B9" s="1" t="s">
        <v>34</v>
      </c>
      <c r="C9" s="2">
        <v>16000</v>
      </c>
      <c r="D9" s="2">
        <v>0</v>
      </c>
      <c r="E9" s="2">
        <v>0</v>
      </c>
      <c r="F9" s="4">
        <v>0</v>
      </c>
      <c r="G9" s="4">
        <f t="shared" si="0"/>
        <v>0</v>
      </c>
      <c r="H9" s="4">
        <v>6000</v>
      </c>
      <c r="I9" s="4">
        <f t="shared" ref="I9:I20" si="1">((D9/5)+F9+G9+H9)</f>
        <v>6000</v>
      </c>
      <c r="J9" s="1"/>
    </row>
    <row r="10" spans="1:10" s="14" customFormat="1" x14ac:dyDescent="0.3">
      <c r="A10" s="11">
        <v>8</v>
      </c>
      <c r="B10" s="11" t="s">
        <v>26</v>
      </c>
      <c r="C10" s="12">
        <v>16000</v>
      </c>
      <c r="D10" s="12">
        <v>50000</v>
      </c>
      <c r="E10" s="12">
        <v>94</v>
      </c>
      <c r="F10" s="13">
        <v>0</v>
      </c>
      <c r="G10" s="13">
        <f t="shared" si="0"/>
        <v>1287.6712328767123</v>
      </c>
      <c r="H10" s="13">
        <v>6000</v>
      </c>
      <c r="I10" s="13">
        <f t="shared" si="1"/>
        <v>17287.67123287671</v>
      </c>
      <c r="J10" s="11"/>
    </row>
    <row r="11" spans="1:10" x14ac:dyDescent="0.3">
      <c r="A11" s="1">
        <v>9</v>
      </c>
      <c r="B11" s="1" t="s">
        <v>46</v>
      </c>
      <c r="C11" s="2">
        <v>16000</v>
      </c>
      <c r="D11" s="2">
        <v>0</v>
      </c>
      <c r="E11" s="2">
        <v>0</v>
      </c>
      <c r="F11" s="4">
        <v>0</v>
      </c>
      <c r="G11" s="4">
        <f t="shared" si="0"/>
        <v>0</v>
      </c>
      <c r="H11" s="4">
        <v>6000</v>
      </c>
      <c r="I11" s="4">
        <f t="shared" si="1"/>
        <v>6000</v>
      </c>
      <c r="J11" s="1"/>
    </row>
    <row r="12" spans="1:10" s="14" customFormat="1" x14ac:dyDescent="0.3">
      <c r="A12" s="11">
        <v>10</v>
      </c>
      <c r="B12" s="11" t="s">
        <v>43</v>
      </c>
      <c r="C12" s="12">
        <v>16000</v>
      </c>
      <c r="D12" s="12">
        <v>50000</v>
      </c>
      <c r="E12" s="12">
        <v>94</v>
      </c>
      <c r="F12" s="13">
        <v>465.8</v>
      </c>
      <c r="G12" s="13">
        <f t="shared" si="0"/>
        <v>1287.6712328767123</v>
      </c>
      <c r="H12" s="13">
        <v>6000</v>
      </c>
      <c r="I12" s="13">
        <f t="shared" si="1"/>
        <v>17753.471232876713</v>
      </c>
      <c r="J12" s="11"/>
    </row>
    <row r="13" spans="1:10" x14ac:dyDescent="0.3">
      <c r="A13" s="1">
        <v>11</v>
      </c>
      <c r="B13" s="1" t="s">
        <v>24</v>
      </c>
      <c r="C13" s="2">
        <v>16000</v>
      </c>
      <c r="D13" s="2">
        <v>0</v>
      </c>
      <c r="E13" s="2">
        <v>0</v>
      </c>
      <c r="F13" s="4">
        <v>0</v>
      </c>
      <c r="G13" s="4">
        <f t="shared" si="0"/>
        <v>0</v>
      </c>
      <c r="H13" s="4">
        <v>6000</v>
      </c>
      <c r="I13" s="4">
        <f t="shared" si="1"/>
        <v>6000</v>
      </c>
      <c r="J13" s="1"/>
    </row>
    <row r="14" spans="1:10" x14ac:dyDescent="0.3">
      <c r="A14" s="1">
        <v>12</v>
      </c>
      <c r="B14" s="1" t="s">
        <v>27</v>
      </c>
      <c r="C14" s="2">
        <v>16000</v>
      </c>
      <c r="D14" s="2">
        <v>0</v>
      </c>
      <c r="E14" s="2">
        <v>0</v>
      </c>
      <c r="F14" s="4">
        <v>0</v>
      </c>
      <c r="G14" s="4">
        <f t="shared" si="0"/>
        <v>0</v>
      </c>
      <c r="H14" s="4">
        <v>6000</v>
      </c>
      <c r="I14" s="4">
        <f t="shared" si="1"/>
        <v>6000</v>
      </c>
      <c r="J14" s="1"/>
    </row>
    <row r="15" spans="1:10" x14ac:dyDescent="0.3">
      <c r="A15" s="1">
        <v>13</v>
      </c>
      <c r="B15" s="1" t="s">
        <v>13</v>
      </c>
      <c r="C15" s="2">
        <v>16000</v>
      </c>
      <c r="D15" s="2">
        <v>0</v>
      </c>
      <c r="E15" s="2">
        <v>0</v>
      </c>
      <c r="F15" s="4">
        <v>0</v>
      </c>
      <c r="G15" s="4">
        <f t="shared" si="0"/>
        <v>0</v>
      </c>
      <c r="H15" s="4">
        <v>6000</v>
      </c>
      <c r="I15" s="4">
        <f t="shared" si="1"/>
        <v>6000</v>
      </c>
      <c r="J15" s="1"/>
    </row>
    <row r="16" spans="1:10" x14ac:dyDescent="0.3">
      <c r="A16" s="1">
        <v>14</v>
      </c>
      <c r="B16" s="1" t="s">
        <v>36</v>
      </c>
      <c r="C16" s="2">
        <v>16000</v>
      </c>
      <c r="D16" s="2">
        <v>0</v>
      </c>
      <c r="E16" s="2">
        <v>0</v>
      </c>
      <c r="F16" s="4">
        <v>0</v>
      </c>
      <c r="G16" s="4">
        <f t="shared" si="0"/>
        <v>0</v>
      </c>
      <c r="H16" s="4">
        <v>6000</v>
      </c>
      <c r="I16" s="4">
        <f t="shared" si="1"/>
        <v>6000</v>
      </c>
      <c r="J16" s="1"/>
    </row>
    <row r="17" spans="1:10" x14ac:dyDescent="0.3">
      <c r="A17" s="1">
        <v>15</v>
      </c>
      <c r="B17" s="1" t="s">
        <v>31</v>
      </c>
      <c r="C17" s="2">
        <v>16000</v>
      </c>
      <c r="D17" s="2">
        <v>0</v>
      </c>
      <c r="E17" s="2">
        <v>0</v>
      </c>
      <c r="F17" s="4">
        <v>0</v>
      </c>
      <c r="G17" s="4">
        <f t="shared" si="0"/>
        <v>0</v>
      </c>
      <c r="H17" s="4">
        <v>6000</v>
      </c>
      <c r="I17" s="4">
        <f t="shared" si="1"/>
        <v>6000</v>
      </c>
      <c r="J17" s="1"/>
    </row>
    <row r="18" spans="1:10" x14ac:dyDescent="0.3">
      <c r="A18" s="1">
        <v>16</v>
      </c>
      <c r="B18" s="1" t="s">
        <v>14</v>
      </c>
      <c r="C18" s="2">
        <v>16000</v>
      </c>
      <c r="D18" s="2">
        <v>0</v>
      </c>
      <c r="E18" s="2">
        <v>0</v>
      </c>
      <c r="F18" s="4">
        <v>0</v>
      </c>
      <c r="G18" s="4">
        <f t="shared" si="0"/>
        <v>0</v>
      </c>
      <c r="H18" s="4">
        <v>6000</v>
      </c>
      <c r="I18" s="4">
        <f t="shared" si="1"/>
        <v>6000</v>
      </c>
      <c r="J18" s="1"/>
    </row>
    <row r="19" spans="1:10" x14ac:dyDescent="0.3">
      <c r="A19" s="1">
        <v>17</v>
      </c>
      <c r="B19" s="1" t="s">
        <v>19</v>
      </c>
      <c r="C19" s="2">
        <v>16000</v>
      </c>
      <c r="D19" s="2">
        <v>0</v>
      </c>
      <c r="E19" s="2">
        <v>0</v>
      </c>
      <c r="F19" s="4">
        <v>0</v>
      </c>
      <c r="G19" s="4">
        <f t="shared" si="0"/>
        <v>0</v>
      </c>
      <c r="H19" s="4">
        <v>6000</v>
      </c>
      <c r="I19" s="4">
        <f t="shared" si="1"/>
        <v>6000</v>
      </c>
      <c r="J19" s="1"/>
    </row>
    <row r="20" spans="1:10" x14ac:dyDescent="0.3">
      <c r="A20" s="1">
        <v>18</v>
      </c>
      <c r="B20" s="1" t="s">
        <v>23</v>
      </c>
      <c r="C20" s="2">
        <v>16000</v>
      </c>
      <c r="D20" s="2">
        <v>0</v>
      </c>
      <c r="E20" s="2">
        <v>0</v>
      </c>
      <c r="F20" s="4">
        <v>0</v>
      </c>
      <c r="G20" s="4">
        <f t="shared" si="0"/>
        <v>0</v>
      </c>
      <c r="H20" s="4">
        <v>6000</v>
      </c>
      <c r="I20" s="4">
        <f t="shared" si="1"/>
        <v>6000</v>
      </c>
      <c r="J20" s="1"/>
    </row>
    <row r="21" spans="1:10" s="14" customFormat="1" x14ac:dyDescent="0.3">
      <c r="A21" s="11">
        <v>19</v>
      </c>
      <c r="B21" s="11" t="s">
        <v>45</v>
      </c>
      <c r="C21" s="12">
        <v>16000</v>
      </c>
      <c r="D21" s="12">
        <v>10000</v>
      </c>
      <c r="E21" s="12">
        <v>38</v>
      </c>
      <c r="F21" s="13">
        <v>0</v>
      </c>
      <c r="G21" s="13">
        <f t="shared" si="0"/>
        <v>104.10958904109589</v>
      </c>
      <c r="H21" s="13">
        <v>6000</v>
      </c>
      <c r="I21" s="13">
        <f>(F21+G21+H21)</f>
        <v>6104.1095890410961</v>
      </c>
      <c r="J21" s="11"/>
    </row>
    <row r="22" spans="1:10" x14ac:dyDescent="0.3">
      <c r="A22" s="1">
        <v>20</v>
      </c>
      <c r="B22" s="1" t="s">
        <v>49</v>
      </c>
      <c r="C22" s="2">
        <v>16000</v>
      </c>
      <c r="D22" s="2">
        <v>0</v>
      </c>
      <c r="E22" s="2">
        <v>0</v>
      </c>
      <c r="F22" s="4">
        <v>0</v>
      </c>
      <c r="G22" s="4">
        <f t="shared" si="0"/>
        <v>0</v>
      </c>
      <c r="H22" s="4">
        <v>6000</v>
      </c>
      <c r="I22" s="4">
        <f t="shared" ref="I22:I28" si="2">((D22/5)+F22+G22+H22)</f>
        <v>6000</v>
      </c>
      <c r="J22" s="1"/>
    </row>
    <row r="23" spans="1:10" x14ac:dyDescent="0.3">
      <c r="A23" s="1">
        <v>21</v>
      </c>
      <c r="B23" s="1" t="s">
        <v>22</v>
      </c>
      <c r="C23" s="2">
        <v>16000</v>
      </c>
      <c r="D23" s="2">
        <v>0</v>
      </c>
      <c r="E23" s="2">
        <v>0</v>
      </c>
      <c r="F23" s="4">
        <v>0</v>
      </c>
      <c r="G23" s="4">
        <f t="shared" si="0"/>
        <v>0</v>
      </c>
      <c r="H23" s="4">
        <v>6000</v>
      </c>
      <c r="I23" s="4">
        <f t="shared" si="2"/>
        <v>6000</v>
      </c>
      <c r="J23" s="1"/>
    </row>
    <row r="24" spans="1:10" x14ac:dyDescent="0.3">
      <c r="A24" s="1">
        <v>22</v>
      </c>
      <c r="B24" s="1" t="s">
        <v>44</v>
      </c>
      <c r="C24" s="2">
        <v>16000</v>
      </c>
      <c r="D24" s="2">
        <v>0</v>
      </c>
      <c r="E24" s="2">
        <v>0</v>
      </c>
      <c r="F24" s="4">
        <v>0</v>
      </c>
      <c r="G24" s="4">
        <f t="shared" si="0"/>
        <v>0</v>
      </c>
      <c r="H24" s="4">
        <v>6000</v>
      </c>
      <c r="I24" s="4">
        <f t="shared" si="2"/>
        <v>6000</v>
      </c>
      <c r="J24" s="1"/>
    </row>
    <row r="25" spans="1:10" x14ac:dyDescent="0.3">
      <c r="A25" s="1">
        <v>23</v>
      </c>
      <c r="B25" s="1" t="s">
        <v>33</v>
      </c>
      <c r="C25" s="2">
        <v>16000</v>
      </c>
      <c r="D25" s="2">
        <v>0</v>
      </c>
      <c r="E25" s="2">
        <v>0</v>
      </c>
      <c r="F25" s="4">
        <v>0</v>
      </c>
      <c r="G25" s="4">
        <f t="shared" si="0"/>
        <v>0</v>
      </c>
      <c r="H25" s="4">
        <v>6000</v>
      </c>
      <c r="I25" s="4">
        <f t="shared" si="2"/>
        <v>6000</v>
      </c>
      <c r="J25" s="1"/>
    </row>
    <row r="26" spans="1:10" x14ac:dyDescent="0.3">
      <c r="A26" s="1">
        <v>24</v>
      </c>
      <c r="B26" s="1" t="s">
        <v>41</v>
      </c>
      <c r="C26" s="2">
        <v>16000</v>
      </c>
      <c r="D26" s="2">
        <v>0</v>
      </c>
      <c r="E26" s="2">
        <v>0</v>
      </c>
      <c r="F26" s="4">
        <v>0</v>
      </c>
      <c r="G26" s="4">
        <f t="shared" si="0"/>
        <v>0</v>
      </c>
      <c r="H26" s="4">
        <v>6000</v>
      </c>
      <c r="I26" s="4">
        <f t="shared" si="2"/>
        <v>6000</v>
      </c>
      <c r="J26" s="1"/>
    </row>
    <row r="27" spans="1:10" x14ac:dyDescent="0.3">
      <c r="A27" s="1">
        <v>25</v>
      </c>
      <c r="B27" s="1" t="s">
        <v>29</v>
      </c>
      <c r="C27" s="2">
        <v>16000</v>
      </c>
      <c r="D27" s="2">
        <v>0</v>
      </c>
      <c r="E27" s="2">
        <v>0</v>
      </c>
      <c r="F27" s="4">
        <v>0</v>
      </c>
      <c r="G27" s="4">
        <f t="shared" si="0"/>
        <v>0</v>
      </c>
      <c r="H27" s="4">
        <v>6000</v>
      </c>
      <c r="I27" s="4">
        <f t="shared" si="2"/>
        <v>6000</v>
      </c>
      <c r="J27" s="1"/>
    </row>
    <row r="28" spans="1:10" x14ac:dyDescent="0.3">
      <c r="A28" s="1">
        <v>26</v>
      </c>
      <c r="B28" s="1" t="s">
        <v>42</v>
      </c>
      <c r="C28" s="2">
        <v>16000</v>
      </c>
      <c r="D28" s="2">
        <v>0</v>
      </c>
      <c r="E28" s="2">
        <v>0</v>
      </c>
      <c r="F28" s="4">
        <v>0</v>
      </c>
      <c r="G28" s="4">
        <f t="shared" si="0"/>
        <v>0</v>
      </c>
      <c r="H28" s="4">
        <v>6000</v>
      </c>
      <c r="I28" s="4">
        <f t="shared" si="2"/>
        <v>6000</v>
      </c>
      <c r="J28" s="1"/>
    </row>
    <row r="29" spans="1:10" s="14" customFormat="1" x14ac:dyDescent="0.3">
      <c r="A29" s="11">
        <v>27</v>
      </c>
      <c r="B29" s="11" t="s">
        <v>7</v>
      </c>
      <c r="C29" s="12">
        <v>16000</v>
      </c>
      <c r="D29" s="12">
        <v>40000</v>
      </c>
      <c r="E29" s="12">
        <v>94</v>
      </c>
      <c r="F29" s="13">
        <v>0</v>
      </c>
      <c r="G29" s="13">
        <f t="shared" si="0"/>
        <v>1030.1369863013699</v>
      </c>
      <c r="H29" s="13">
        <v>6000</v>
      </c>
      <c r="I29" s="13">
        <f>((D29/4)+F29+G29+H29)</f>
        <v>17030.136986301368</v>
      </c>
      <c r="J29" s="11"/>
    </row>
    <row r="30" spans="1:10" s="14" customFormat="1" x14ac:dyDescent="0.3">
      <c r="A30" s="11">
        <v>28</v>
      </c>
      <c r="B30" s="11" t="s">
        <v>10</v>
      </c>
      <c r="C30" s="12">
        <v>16000</v>
      </c>
      <c r="D30" s="12">
        <v>50000</v>
      </c>
      <c r="E30" s="12">
        <v>85</v>
      </c>
      <c r="F30" s="13">
        <v>0</v>
      </c>
      <c r="G30" s="13">
        <f t="shared" si="0"/>
        <v>1164.3835616438355</v>
      </c>
      <c r="H30" s="13">
        <v>6000</v>
      </c>
      <c r="I30" s="13">
        <f>((D30/5)+F30+G30+H30)</f>
        <v>17164.383561643837</v>
      </c>
      <c r="J30" s="11"/>
    </row>
    <row r="31" spans="1:10" x14ac:dyDescent="0.3">
      <c r="A31" s="1">
        <v>29</v>
      </c>
      <c r="B31" s="1" t="s">
        <v>25</v>
      </c>
      <c r="C31" s="2">
        <v>16000</v>
      </c>
      <c r="D31" s="2">
        <v>0</v>
      </c>
      <c r="E31" s="2">
        <v>0</v>
      </c>
      <c r="F31" s="4">
        <v>0</v>
      </c>
      <c r="G31" s="4">
        <f t="shared" si="0"/>
        <v>0</v>
      </c>
      <c r="H31" s="4">
        <v>6000</v>
      </c>
      <c r="I31" s="4">
        <f>((D31/5)+F31+G31+H31)</f>
        <v>6000</v>
      </c>
      <c r="J31" s="1"/>
    </row>
    <row r="32" spans="1:10" x14ac:dyDescent="0.3">
      <c r="A32" s="1">
        <v>30</v>
      </c>
      <c r="B32" s="1" t="s">
        <v>21</v>
      </c>
      <c r="C32" s="2">
        <v>16000</v>
      </c>
      <c r="D32" s="2">
        <v>0</v>
      </c>
      <c r="E32" s="2">
        <v>0</v>
      </c>
      <c r="F32" s="4">
        <v>0</v>
      </c>
      <c r="G32" s="4">
        <f t="shared" si="0"/>
        <v>0</v>
      </c>
      <c r="H32" s="4">
        <v>6000</v>
      </c>
      <c r="I32" s="4">
        <f>((D32/5)+F32+G32+H32)</f>
        <v>6000</v>
      </c>
      <c r="J32" s="1"/>
    </row>
    <row r="33" spans="1:10" x14ac:dyDescent="0.3">
      <c r="A33" s="1">
        <v>31</v>
      </c>
      <c r="B33" s="1" t="s">
        <v>18</v>
      </c>
      <c r="C33" s="2">
        <v>16000</v>
      </c>
      <c r="D33" s="2">
        <v>0</v>
      </c>
      <c r="E33" s="2">
        <v>0</v>
      </c>
      <c r="F33" s="4">
        <v>0</v>
      </c>
      <c r="G33" s="4">
        <f t="shared" si="0"/>
        <v>0</v>
      </c>
      <c r="H33" s="4">
        <v>6000</v>
      </c>
      <c r="I33" s="4">
        <f>((D33/5)+F33+G33+H33)</f>
        <v>6000</v>
      </c>
      <c r="J33" s="1"/>
    </row>
    <row r="34" spans="1:10" s="21" customFormat="1" x14ac:dyDescent="0.3">
      <c r="A34" s="1">
        <v>32</v>
      </c>
      <c r="B34" s="18" t="s">
        <v>53</v>
      </c>
      <c r="C34" s="19">
        <v>16000</v>
      </c>
      <c r="D34" s="19">
        <v>0</v>
      </c>
      <c r="E34" s="19">
        <v>0</v>
      </c>
      <c r="F34" s="4">
        <v>0</v>
      </c>
      <c r="G34" s="4">
        <f t="shared" si="0"/>
        <v>0</v>
      </c>
      <c r="H34" s="20">
        <v>6000</v>
      </c>
      <c r="I34" s="4">
        <f>((D34/5)+F34+G34+H34)</f>
        <v>6000</v>
      </c>
      <c r="J34" s="18"/>
    </row>
    <row r="35" spans="1:10" s="14" customFormat="1" x14ac:dyDescent="0.3">
      <c r="A35" s="11">
        <v>33</v>
      </c>
      <c r="B35" s="11" t="s">
        <v>50</v>
      </c>
      <c r="C35" s="12">
        <v>16000</v>
      </c>
      <c r="D35" s="12">
        <v>50000</v>
      </c>
      <c r="E35" s="12">
        <v>12</v>
      </c>
      <c r="F35" s="13">
        <v>0</v>
      </c>
      <c r="G35" s="13">
        <f t="shared" si="0"/>
        <v>164.38356164383561</v>
      </c>
      <c r="H35" s="13">
        <v>6000</v>
      </c>
      <c r="I35" s="13">
        <f>(F35+G35+H35)</f>
        <v>6164.3835616438355</v>
      </c>
      <c r="J35" s="11"/>
    </row>
    <row r="36" spans="1:10" x14ac:dyDescent="0.3">
      <c r="A36" s="1">
        <v>34</v>
      </c>
      <c r="B36" s="1" t="s">
        <v>40</v>
      </c>
      <c r="C36" s="2">
        <v>16000</v>
      </c>
      <c r="D36" s="2">
        <v>0</v>
      </c>
      <c r="E36" s="2">
        <v>0</v>
      </c>
      <c r="F36" s="4">
        <v>0</v>
      </c>
      <c r="G36" s="4">
        <f t="shared" si="0"/>
        <v>0</v>
      </c>
      <c r="H36" s="4">
        <v>6000</v>
      </c>
      <c r="I36" s="4">
        <f>((D36/5)+F36+G36+H36)</f>
        <v>6000</v>
      </c>
      <c r="J36" s="1"/>
    </row>
    <row r="37" spans="1:10" x14ac:dyDescent="0.3">
      <c r="A37" s="1">
        <v>35</v>
      </c>
      <c r="B37" s="1" t="s">
        <v>39</v>
      </c>
      <c r="C37" s="2">
        <v>16000</v>
      </c>
      <c r="D37" s="2">
        <v>0</v>
      </c>
      <c r="E37" s="2">
        <v>0</v>
      </c>
      <c r="F37" s="4">
        <v>0</v>
      </c>
      <c r="G37" s="4">
        <f t="shared" si="0"/>
        <v>0</v>
      </c>
      <c r="H37" s="4">
        <v>6000</v>
      </c>
      <c r="I37" s="4">
        <f>((D37/5)+F37+G37+H37)</f>
        <v>6000</v>
      </c>
      <c r="J37" s="1"/>
    </row>
    <row r="38" spans="1:10" s="14" customFormat="1" x14ac:dyDescent="0.3">
      <c r="A38" s="11">
        <v>36</v>
      </c>
      <c r="B38" s="11" t="s">
        <v>30</v>
      </c>
      <c r="C38" s="12">
        <v>16000</v>
      </c>
      <c r="D38" s="12">
        <v>50000</v>
      </c>
      <c r="E38" s="12">
        <v>94</v>
      </c>
      <c r="F38" s="13">
        <v>236.1</v>
      </c>
      <c r="G38" s="13">
        <f t="shared" si="0"/>
        <v>1287.6712328767123</v>
      </c>
      <c r="H38" s="13">
        <v>6000</v>
      </c>
      <c r="I38" s="13">
        <f>((D38/5)+F38+G38+H38)</f>
        <v>17523.771232876712</v>
      </c>
      <c r="J38" s="11"/>
    </row>
    <row r="39" spans="1:10" x14ac:dyDescent="0.3">
      <c r="A39" s="1">
        <v>37</v>
      </c>
      <c r="B39" s="1" t="s">
        <v>8</v>
      </c>
      <c r="C39" s="2">
        <v>16000</v>
      </c>
      <c r="D39" s="2">
        <v>0</v>
      </c>
      <c r="E39" s="2">
        <v>0</v>
      </c>
      <c r="F39" s="20">
        <v>0</v>
      </c>
      <c r="G39" s="4">
        <f t="shared" si="0"/>
        <v>0</v>
      </c>
      <c r="H39" s="4">
        <v>6000</v>
      </c>
      <c r="I39" s="4">
        <f>((D39/5)+F39+G39+H39)</f>
        <v>6000</v>
      </c>
      <c r="J39" s="1"/>
    </row>
    <row r="40" spans="1:10" s="14" customFormat="1" x14ac:dyDescent="0.3">
      <c r="A40" s="11">
        <v>38</v>
      </c>
      <c r="B40" s="11" t="s">
        <v>20</v>
      </c>
      <c r="C40" s="12">
        <v>16000</v>
      </c>
      <c r="D40" s="12">
        <v>50000</v>
      </c>
      <c r="E40" s="12">
        <v>12</v>
      </c>
      <c r="F40" s="13">
        <v>0</v>
      </c>
      <c r="G40" s="13">
        <f t="shared" si="0"/>
        <v>164.38356164383561</v>
      </c>
      <c r="H40" s="13">
        <v>6000</v>
      </c>
      <c r="I40" s="13">
        <f>(F40+G40+H40)</f>
        <v>6164.3835616438355</v>
      </c>
      <c r="J40" s="11"/>
    </row>
    <row r="41" spans="1:10" s="14" customFormat="1" x14ac:dyDescent="0.3">
      <c r="A41" s="11">
        <v>39</v>
      </c>
      <c r="B41" s="7" t="s">
        <v>47</v>
      </c>
      <c r="C41" s="12">
        <v>16000</v>
      </c>
      <c r="D41" s="8">
        <v>50000</v>
      </c>
      <c r="E41" s="8">
        <v>94</v>
      </c>
      <c r="F41" s="9">
        <v>0</v>
      </c>
      <c r="G41" s="13">
        <f t="shared" si="0"/>
        <v>1287.6712328767123</v>
      </c>
      <c r="H41" s="9">
        <v>6000</v>
      </c>
      <c r="I41" s="13">
        <f>((D41/5)+F41+G41+H41)</f>
        <v>17287.67123287671</v>
      </c>
      <c r="J41" s="7"/>
    </row>
    <row r="42" spans="1:10" x14ac:dyDescent="0.3">
      <c r="A42" s="1">
        <v>40</v>
      </c>
      <c r="B42" s="1" t="s">
        <v>37</v>
      </c>
      <c r="C42" s="2">
        <v>16000</v>
      </c>
      <c r="D42" s="2">
        <v>0</v>
      </c>
      <c r="E42" s="2">
        <v>0</v>
      </c>
      <c r="F42" s="4">
        <v>0</v>
      </c>
      <c r="G42" s="4">
        <f t="shared" si="0"/>
        <v>0</v>
      </c>
      <c r="H42" s="4">
        <v>6000</v>
      </c>
      <c r="I42" s="4">
        <f>((D42/5)+F42+G42+H42)</f>
        <v>6000</v>
      </c>
      <c r="J42" s="1"/>
    </row>
    <row r="43" spans="1:10" s="14" customFormat="1" x14ac:dyDescent="0.3">
      <c r="A43" s="11">
        <v>41</v>
      </c>
      <c r="B43" s="7" t="s">
        <v>9</v>
      </c>
      <c r="C43" s="12">
        <v>16000</v>
      </c>
      <c r="D43" s="8">
        <v>40000</v>
      </c>
      <c r="E43" s="8">
        <v>94</v>
      </c>
      <c r="F43" s="9">
        <v>0</v>
      </c>
      <c r="G43" s="13">
        <f t="shared" si="0"/>
        <v>1030.1369863013699</v>
      </c>
      <c r="H43" s="9">
        <v>6000</v>
      </c>
      <c r="I43" s="13">
        <f>((D43/4)+F43+G43+H43)</f>
        <v>17030.136986301368</v>
      </c>
      <c r="J43" s="7"/>
    </row>
    <row r="44" spans="1:10" s="14" customFormat="1" x14ac:dyDescent="0.3">
      <c r="A44" s="11">
        <v>42</v>
      </c>
      <c r="B44" s="11" t="s">
        <v>48</v>
      </c>
      <c r="C44" s="12">
        <v>16000</v>
      </c>
      <c r="D44" s="12">
        <v>50000</v>
      </c>
      <c r="E44" s="12">
        <v>85</v>
      </c>
      <c r="F44" s="13">
        <v>0</v>
      </c>
      <c r="G44" s="13">
        <f t="shared" si="0"/>
        <v>1164.3835616438355</v>
      </c>
      <c r="H44" s="13">
        <v>6000</v>
      </c>
      <c r="I44" s="13">
        <f>((D44/5)+F44+G44+H44)</f>
        <v>17164.383561643837</v>
      </c>
      <c r="J44" s="11"/>
    </row>
    <row r="45" spans="1:10" x14ac:dyDescent="0.3">
      <c r="A45" s="1">
        <v>43</v>
      </c>
      <c r="B45" s="1" t="s">
        <v>35</v>
      </c>
      <c r="C45" s="2">
        <v>16000</v>
      </c>
      <c r="D45" s="2">
        <v>0</v>
      </c>
      <c r="E45" s="2">
        <v>0</v>
      </c>
      <c r="F45" s="4">
        <v>0</v>
      </c>
      <c r="G45" s="4">
        <f t="shared" si="0"/>
        <v>0</v>
      </c>
      <c r="H45" s="4">
        <v>6000</v>
      </c>
      <c r="I45" s="4">
        <f>((D45/5)+F45+G45+H45)</f>
        <v>6000</v>
      </c>
      <c r="J45" s="1"/>
    </row>
    <row r="46" spans="1:10" s="14" customFormat="1" x14ac:dyDescent="0.3">
      <c r="A46" s="11">
        <v>44</v>
      </c>
      <c r="B46" s="7" t="s">
        <v>32</v>
      </c>
      <c r="C46" s="12">
        <v>16000</v>
      </c>
      <c r="D46" s="8">
        <v>40000</v>
      </c>
      <c r="E46" s="8">
        <v>94</v>
      </c>
      <c r="F46" s="9">
        <v>0</v>
      </c>
      <c r="G46" s="13">
        <f t="shared" si="0"/>
        <v>1030.1369863013699</v>
      </c>
      <c r="H46" s="9">
        <v>6000</v>
      </c>
      <c r="I46" s="13">
        <f>((D46/4)+F46+G46+H46)</f>
        <v>17030.136986301368</v>
      </c>
      <c r="J46" s="7"/>
    </row>
    <row r="47" spans="1:10" x14ac:dyDescent="0.3">
      <c r="A47" s="1">
        <v>45</v>
      </c>
      <c r="B47" s="1" t="s">
        <v>38</v>
      </c>
      <c r="C47" s="2">
        <v>16000</v>
      </c>
      <c r="D47" s="2">
        <v>0</v>
      </c>
      <c r="E47" s="2">
        <v>0</v>
      </c>
      <c r="F47" s="4">
        <v>0</v>
      </c>
      <c r="G47" s="4">
        <f t="shared" si="0"/>
        <v>0</v>
      </c>
      <c r="H47" s="4">
        <v>6000</v>
      </c>
      <c r="I47" s="4">
        <f>((D47/5)+F47+G47+H47)</f>
        <v>6000</v>
      </c>
      <c r="J47" s="1"/>
    </row>
    <row r="48" spans="1:10" x14ac:dyDescent="0.3">
      <c r="A48" s="1">
        <v>46</v>
      </c>
      <c r="B48" s="1" t="s">
        <v>28</v>
      </c>
      <c r="C48" s="2">
        <v>16000</v>
      </c>
      <c r="D48" s="2">
        <v>0</v>
      </c>
      <c r="E48" s="2">
        <v>0</v>
      </c>
      <c r="F48" s="4">
        <v>0</v>
      </c>
      <c r="G48" s="4">
        <f t="shared" si="0"/>
        <v>0</v>
      </c>
      <c r="H48" s="4">
        <v>6000</v>
      </c>
      <c r="I48" s="4">
        <f>((D48/5)+F48+G48+H48)</f>
        <v>6000</v>
      </c>
      <c r="J48" s="1"/>
    </row>
    <row r="49" spans="1:10" x14ac:dyDescent="0.3">
      <c r="A49" s="1">
        <v>47</v>
      </c>
      <c r="B49" s="1" t="s">
        <v>12</v>
      </c>
      <c r="C49" s="2">
        <v>16000</v>
      </c>
      <c r="D49" s="2">
        <v>0</v>
      </c>
      <c r="E49" s="2">
        <v>0</v>
      </c>
      <c r="F49" s="4">
        <v>0</v>
      </c>
      <c r="G49" s="4">
        <f t="shared" si="0"/>
        <v>0</v>
      </c>
      <c r="H49" s="4">
        <v>6000</v>
      </c>
      <c r="I49" s="4">
        <f>((D49/5)+F49+G49+H49)</f>
        <v>6000</v>
      </c>
      <c r="J49" s="1"/>
    </row>
    <row r="50" spans="1:10" s="14" customFormat="1" x14ac:dyDescent="0.3">
      <c r="A50" s="11">
        <v>48</v>
      </c>
      <c r="B50" s="11" t="s">
        <v>16</v>
      </c>
      <c r="C50" s="12">
        <v>16000</v>
      </c>
      <c r="D50" s="12">
        <v>50000</v>
      </c>
      <c r="E50" s="12">
        <v>85</v>
      </c>
      <c r="F50" s="13">
        <v>0</v>
      </c>
      <c r="G50" s="13">
        <f t="shared" si="0"/>
        <v>1164.3835616438355</v>
      </c>
      <c r="H50" s="13">
        <v>6000</v>
      </c>
      <c r="I50" s="13">
        <f>((D50/5)+F50+G50+H50)</f>
        <v>17164.383561643837</v>
      </c>
      <c r="J50" s="11"/>
    </row>
    <row r="51" spans="1:10" x14ac:dyDescent="0.3">
      <c r="C51" s="3">
        <f>SUM(C3:C50)</f>
        <v>768000</v>
      </c>
      <c r="D51" s="3">
        <f>SUM(D3:D50)</f>
        <v>620000</v>
      </c>
      <c r="E51" s="68">
        <f>SUM(E3:E50)</f>
        <v>1069</v>
      </c>
      <c r="F51" s="68">
        <f t="shared" ref="F51" si="3">SUM(F3:F50)</f>
        <v>701.9</v>
      </c>
      <c r="G51" s="5">
        <f>SUM(G3:G50)</f>
        <v>13197.260273972603</v>
      </c>
      <c r="H51" s="5">
        <f>SUM(H3:H50)</f>
        <v>288000</v>
      </c>
      <c r="I51" s="6">
        <f>SUM(I3:I50)</f>
        <v>411899.16027397249</v>
      </c>
    </row>
    <row r="52" spans="1:10" x14ac:dyDescent="0.3">
      <c r="G52" s="5" t="s">
        <v>58</v>
      </c>
      <c r="I52" s="22">
        <v>2300</v>
      </c>
    </row>
    <row r="53" spans="1:10" ht="18" x14ac:dyDescent="0.35">
      <c r="G53" s="73">
        <v>10621.9</v>
      </c>
      <c r="I53" s="17">
        <f>I51-I52</f>
        <v>409599.16027397249</v>
      </c>
    </row>
    <row r="54" spans="1:10" x14ac:dyDescent="0.3">
      <c r="D54" s="3" t="s">
        <v>60</v>
      </c>
      <c r="E54" s="5">
        <f>H51+C51</f>
        <v>1056000</v>
      </c>
    </row>
    <row r="55" spans="1:10" x14ac:dyDescent="0.3">
      <c r="C55" s="176" t="s">
        <v>61</v>
      </c>
      <c r="D55" s="176"/>
      <c r="E55" s="5">
        <v>5331.1</v>
      </c>
    </row>
    <row r="56" spans="1:10" x14ac:dyDescent="0.3">
      <c r="C56" s="176" t="s">
        <v>62</v>
      </c>
      <c r="D56" s="176"/>
      <c r="E56" s="5">
        <v>12980.6</v>
      </c>
    </row>
    <row r="57" spans="1:10" x14ac:dyDescent="0.3">
      <c r="D57" s="3" t="s">
        <v>63</v>
      </c>
      <c r="E57" s="5">
        <f>SUM(E54:E56)</f>
        <v>1074311.7000000002</v>
      </c>
    </row>
  </sheetData>
  <mergeCells count="3">
    <mergeCell ref="B1:J1"/>
    <mergeCell ref="C55:D55"/>
    <mergeCell ref="C56:D56"/>
  </mergeCells>
  <pageMargins left="0.7" right="0.7" top="0.75" bottom="0.75" header="0.3" footer="0.3"/>
  <pageSetup scale="7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opLeftCell="A29" workbookViewId="0">
      <selection activeCell="I57" sqref="I57"/>
    </sheetView>
  </sheetViews>
  <sheetFormatPr defaultRowHeight="14.4" x14ac:dyDescent="0.3"/>
  <cols>
    <col min="2" max="2" width="18.109375" customWidth="1"/>
    <col min="3" max="3" width="12.6640625" customWidth="1"/>
    <col min="6" max="6" width="14.33203125" customWidth="1"/>
    <col min="8" max="8" width="12.33203125" customWidth="1"/>
    <col min="9" max="9" width="17" customWidth="1"/>
  </cols>
  <sheetData>
    <row r="1" spans="1:10" ht="24" customHeight="1" x14ac:dyDescent="0.3">
      <c r="A1" s="177" t="s">
        <v>68</v>
      </c>
      <c r="B1" s="177" t="s">
        <v>69</v>
      </c>
      <c r="C1" s="178" t="s">
        <v>70</v>
      </c>
      <c r="D1" s="178"/>
      <c r="E1" s="178" t="s">
        <v>71</v>
      </c>
      <c r="F1" s="178"/>
      <c r="G1" s="178"/>
      <c r="H1" s="178"/>
      <c r="I1" s="179" t="s">
        <v>79</v>
      </c>
      <c r="J1" s="177" t="s">
        <v>72</v>
      </c>
    </row>
    <row r="2" spans="1:10" s="28" customFormat="1" ht="74.400000000000006" customHeight="1" x14ac:dyDescent="0.3">
      <c r="A2" s="177"/>
      <c r="B2" s="177"/>
      <c r="C2" s="30" t="s">
        <v>73</v>
      </c>
      <c r="D2" s="31" t="s">
        <v>74</v>
      </c>
      <c r="E2" s="32" t="s">
        <v>75</v>
      </c>
      <c r="F2" s="31" t="s">
        <v>76</v>
      </c>
      <c r="G2" s="31" t="s">
        <v>77</v>
      </c>
      <c r="H2" s="31" t="s">
        <v>78</v>
      </c>
      <c r="I2" s="179"/>
      <c r="J2" s="177"/>
    </row>
    <row r="3" spans="1:10" x14ac:dyDescent="0.3">
      <c r="A3" s="1">
        <v>1</v>
      </c>
      <c r="B3" s="1" t="s">
        <v>6</v>
      </c>
      <c r="C3" s="1">
        <v>22000</v>
      </c>
      <c r="D3" s="1">
        <v>6000</v>
      </c>
      <c r="E3" s="1">
        <v>0</v>
      </c>
      <c r="F3" s="1">
        <v>0</v>
      </c>
      <c r="G3" s="1">
        <f>(E3-F3)</f>
        <v>0</v>
      </c>
      <c r="H3" s="1"/>
      <c r="I3" s="1"/>
      <c r="J3" s="1"/>
    </row>
    <row r="4" spans="1:10" x14ac:dyDescent="0.3">
      <c r="A4" s="1">
        <v>2</v>
      </c>
      <c r="B4" s="1" t="s">
        <v>17</v>
      </c>
      <c r="C4" s="1">
        <v>22000</v>
      </c>
      <c r="D4" s="1">
        <v>6000</v>
      </c>
      <c r="E4" s="1">
        <v>0</v>
      </c>
      <c r="F4" s="1">
        <v>0</v>
      </c>
      <c r="G4" s="1">
        <f t="shared" ref="G4:G50" si="0">(E4-F4)</f>
        <v>0</v>
      </c>
      <c r="H4" s="1"/>
      <c r="I4" s="1"/>
      <c r="J4" s="1"/>
    </row>
    <row r="5" spans="1:10" x14ac:dyDescent="0.3">
      <c r="A5" s="1">
        <v>3</v>
      </c>
      <c r="B5" s="1" t="s">
        <v>11</v>
      </c>
      <c r="C5" s="1">
        <v>22000</v>
      </c>
      <c r="D5" s="1">
        <v>6000</v>
      </c>
      <c r="E5" s="1">
        <v>0</v>
      </c>
      <c r="F5" s="1">
        <v>0</v>
      </c>
      <c r="G5" s="1">
        <f t="shared" si="0"/>
        <v>0</v>
      </c>
      <c r="H5" s="1"/>
      <c r="I5" s="1"/>
      <c r="J5" s="1"/>
    </row>
    <row r="6" spans="1:10" x14ac:dyDescent="0.3">
      <c r="A6" s="1">
        <v>4</v>
      </c>
      <c r="B6" s="1" t="s">
        <v>51</v>
      </c>
      <c r="C6" s="1">
        <v>22000</v>
      </c>
      <c r="D6" s="1">
        <v>6000</v>
      </c>
      <c r="E6" s="1">
        <v>0</v>
      </c>
      <c r="F6" s="1">
        <v>0</v>
      </c>
      <c r="G6" s="1">
        <f t="shared" si="0"/>
        <v>0</v>
      </c>
      <c r="H6" s="1"/>
      <c r="I6" s="1"/>
      <c r="J6" s="1"/>
    </row>
    <row r="7" spans="1:10" x14ac:dyDescent="0.3">
      <c r="A7" s="1">
        <v>5</v>
      </c>
      <c r="B7" s="1" t="s">
        <v>59</v>
      </c>
      <c r="C7" s="1">
        <v>22000</v>
      </c>
      <c r="D7" s="1">
        <v>6000</v>
      </c>
      <c r="E7" s="1">
        <v>0</v>
      </c>
      <c r="F7" s="1">
        <v>0</v>
      </c>
      <c r="G7" s="1">
        <f t="shared" si="0"/>
        <v>0</v>
      </c>
      <c r="H7" s="1"/>
      <c r="I7" s="1"/>
      <c r="J7" s="1"/>
    </row>
    <row r="8" spans="1:10" x14ac:dyDescent="0.3">
      <c r="A8" s="1">
        <v>6</v>
      </c>
      <c r="B8" s="11" t="s">
        <v>15</v>
      </c>
      <c r="C8" s="1">
        <v>22000</v>
      </c>
      <c r="D8" s="1">
        <v>6000</v>
      </c>
      <c r="E8" s="1">
        <v>30000</v>
      </c>
      <c r="F8" s="1">
        <v>10000</v>
      </c>
      <c r="G8" s="1">
        <f t="shared" si="0"/>
        <v>20000</v>
      </c>
      <c r="H8" s="1"/>
      <c r="I8" s="1"/>
      <c r="J8" s="1"/>
    </row>
    <row r="9" spans="1:10" x14ac:dyDescent="0.3">
      <c r="A9" s="1">
        <v>7</v>
      </c>
      <c r="B9" s="1" t="s">
        <v>34</v>
      </c>
      <c r="C9" s="1">
        <v>22000</v>
      </c>
      <c r="D9" s="1">
        <v>6000</v>
      </c>
      <c r="E9" s="1">
        <v>0</v>
      </c>
      <c r="F9" s="1">
        <v>0</v>
      </c>
      <c r="G9" s="1">
        <f t="shared" si="0"/>
        <v>0</v>
      </c>
      <c r="H9" s="1"/>
      <c r="I9" s="1"/>
      <c r="J9" s="1"/>
    </row>
    <row r="10" spans="1:10" x14ac:dyDescent="0.3">
      <c r="A10" s="1">
        <v>8</v>
      </c>
      <c r="B10" s="11" t="s">
        <v>26</v>
      </c>
      <c r="C10" s="1">
        <v>22000</v>
      </c>
      <c r="D10" s="1">
        <v>6000</v>
      </c>
      <c r="E10" s="1">
        <v>80000</v>
      </c>
      <c r="F10" s="1">
        <v>10000</v>
      </c>
      <c r="G10" s="1">
        <f t="shared" si="0"/>
        <v>70000</v>
      </c>
      <c r="H10" s="1"/>
      <c r="I10" s="1"/>
      <c r="J10" s="1"/>
    </row>
    <row r="11" spans="1:10" x14ac:dyDescent="0.3">
      <c r="A11" s="1">
        <v>9</v>
      </c>
      <c r="B11" s="1" t="s">
        <v>46</v>
      </c>
      <c r="C11" s="1">
        <v>22000</v>
      </c>
      <c r="D11" s="1">
        <v>6000</v>
      </c>
      <c r="E11" s="1">
        <v>0</v>
      </c>
      <c r="F11" s="1">
        <v>0</v>
      </c>
      <c r="G11" s="1">
        <f t="shared" si="0"/>
        <v>0</v>
      </c>
      <c r="H11" s="1"/>
      <c r="I11" s="1"/>
      <c r="J11" s="1"/>
    </row>
    <row r="12" spans="1:10" x14ac:dyDescent="0.3">
      <c r="A12" s="1">
        <v>10</v>
      </c>
      <c r="B12" s="11" t="s">
        <v>43</v>
      </c>
      <c r="C12" s="1">
        <v>22000</v>
      </c>
      <c r="D12" s="1">
        <v>6000</v>
      </c>
      <c r="E12" s="1">
        <v>50000</v>
      </c>
      <c r="F12" s="1">
        <v>10000</v>
      </c>
      <c r="G12" s="1">
        <f t="shared" si="0"/>
        <v>40000</v>
      </c>
      <c r="H12" s="1"/>
      <c r="I12" s="1"/>
      <c r="J12" s="1"/>
    </row>
    <row r="13" spans="1:10" x14ac:dyDescent="0.3">
      <c r="A13" s="1">
        <v>11</v>
      </c>
      <c r="B13" s="1" t="s">
        <v>24</v>
      </c>
      <c r="C13" s="1">
        <v>22000</v>
      </c>
      <c r="D13" s="1">
        <v>6000</v>
      </c>
      <c r="E13" s="1">
        <v>0</v>
      </c>
      <c r="F13" s="1">
        <v>0</v>
      </c>
      <c r="G13" s="1">
        <f t="shared" si="0"/>
        <v>0</v>
      </c>
      <c r="H13" s="1"/>
      <c r="I13" s="1"/>
      <c r="J13" s="1"/>
    </row>
    <row r="14" spans="1:10" x14ac:dyDescent="0.3">
      <c r="A14" s="1">
        <v>12</v>
      </c>
      <c r="B14" s="1" t="s">
        <v>27</v>
      </c>
      <c r="C14" s="1">
        <v>22000</v>
      </c>
      <c r="D14" s="1">
        <v>6000</v>
      </c>
      <c r="E14" s="1">
        <v>0</v>
      </c>
      <c r="F14" s="1">
        <v>0</v>
      </c>
      <c r="G14" s="1">
        <f t="shared" si="0"/>
        <v>0</v>
      </c>
      <c r="H14" s="1"/>
      <c r="I14" s="1"/>
      <c r="J14" s="1"/>
    </row>
    <row r="15" spans="1:10" x14ac:dyDescent="0.3">
      <c r="A15" s="1">
        <v>13</v>
      </c>
      <c r="B15" s="1" t="s">
        <v>13</v>
      </c>
      <c r="C15" s="1">
        <v>22000</v>
      </c>
      <c r="D15" s="1">
        <v>6000</v>
      </c>
      <c r="E15" s="1">
        <v>0</v>
      </c>
      <c r="F15" s="1">
        <v>0</v>
      </c>
      <c r="G15" s="1">
        <f t="shared" si="0"/>
        <v>0</v>
      </c>
      <c r="H15" s="1"/>
      <c r="I15" s="1"/>
      <c r="J15" s="1"/>
    </row>
    <row r="16" spans="1:10" x14ac:dyDescent="0.3">
      <c r="A16" s="1">
        <v>14</v>
      </c>
      <c r="B16" s="1" t="s">
        <v>36</v>
      </c>
      <c r="C16" s="1">
        <v>22000</v>
      </c>
      <c r="D16" s="1">
        <v>6000</v>
      </c>
      <c r="E16" s="1">
        <v>0</v>
      </c>
      <c r="F16" s="1">
        <v>0</v>
      </c>
      <c r="G16" s="1">
        <f t="shared" si="0"/>
        <v>0</v>
      </c>
      <c r="H16" s="1"/>
      <c r="I16" s="1"/>
      <c r="J16" s="1"/>
    </row>
    <row r="17" spans="1:10" x14ac:dyDescent="0.3">
      <c r="A17" s="1">
        <v>15</v>
      </c>
      <c r="B17" s="1" t="s">
        <v>31</v>
      </c>
      <c r="C17" s="1">
        <v>22000</v>
      </c>
      <c r="D17" s="1">
        <v>6000</v>
      </c>
      <c r="E17" s="1">
        <v>0</v>
      </c>
      <c r="F17" s="1">
        <v>0</v>
      </c>
      <c r="G17" s="1">
        <f t="shared" si="0"/>
        <v>0</v>
      </c>
      <c r="H17" s="1"/>
      <c r="I17" s="1"/>
      <c r="J17" s="1"/>
    </row>
    <row r="18" spans="1:10" x14ac:dyDescent="0.3">
      <c r="A18" s="1">
        <v>16</v>
      </c>
      <c r="B18" s="1" t="s">
        <v>14</v>
      </c>
      <c r="C18" s="1">
        <v>22000</v>
      </c>
      <c r="D18" s="1">
        <v>6000</v>
      </c>
      <c r="E18" s="1">
        <v>50000</v>
      </c>
      <c r="F18" s="1">
        <v>10000</v>
      </c>
      <c r="G18" s="1">
        <f t="shared" si="0"/>
        <v>40000</v>
      </c>
      <c r="H18" s="1"/>
      <c r="I18" s="1"/>
      <c r="J18" s="1"/>
    </row>
    <row r="19" spans="1:10" x14ac:dyDescent="0.3">
      <c r="A19" s="1">
        <v>17</v>
      </c>
      <c r="B19" s="1" t="s">
        <v>19</v>
      </c>
      <c r="C19" s="1">
        <v>22000</v>
      </c>
      <c r="D19" s="1">
        <v>6000</v>
      </c>
      <c r="E19" s="1">
        <v>0</v>
      </c>
      <c r="F19" s="1">
        <v>0</v>
      </c>
      <c r="G19" s="1">
        <f t="shared" si="0"/>
        <v>0</v>
      </c>
      <c r="H19" s="1"/>
      <c r="I19" s="1"/>
      <c r="J19" s="1"/>
    </row>
    <row r="20" spans="1:10" x14ac:dyDescent="0.3">
      <c r="A20" s="1">
        <v>18</v>
      </c>
      <c r="B20" s="1" t="s">
        <v>23</v>
      </c>
      <c r="C20" s="1">
        <v>22000</v>
      </c>
      <c r="D20" s="1">
        <v>6000</v>
      </c>
      <c r="E20" s="1">
        <v>0</v>
      </c>
      <c r="F20" s="1">
        <v>0</v>
      </c>
      <c r="G20" s="1">
        <f t="shared" si="0"/>
        <v>0</v>
      </c>
      <c r="H20" s="1"/>
      <c r="I20" s="1"/>
      <c r="J20" s="1"/>
    </row>
    <row r="21" spans="1:10" x14ac:dyDescent="0.3">
      <c r="A21" s="1">
        <v>19</v>
      </c>
      <c r="B21" s="11" t="s">
        <v>45</v>
      </c>
      <c r="C21" s="1">
        <v>22000</v>
      </c>
      <c r="D21" s="1">
        <v>6000</v>
      </c>
      <c r="E21" s="1">
        <v>20000</v>
      </c>
      <c r="F21" s="1">
        <v>10000</v>
      </c>
      <c r="G21" s="1">
        <f t="shared" si="0"/>
        <v>10000</v>
      </c>
      <c r="H21" s="1"/>
      <c r="I21" s="1"/>
      <c r="J21" s="1"/>
    </row>
    <row r="22" spans="1:10" x14ac:dyDescent="0.3">
      <c r="A22" s="1">
        <v>20</v>
      </c>
      <c r="B22" s="1" t="s">
        <v>49</v>
      </c>
      <c r="C22" s="1">
        <v>22000</v>
      </c>
      <c r="D22" s="1">
        <v>6000</v>
      </c>
      <c r="E22" s="1">
        <v>0</v>
      </c>
      <c r="F22" s="1">
        <v>0</v>
      </c>
      <c r="G22" s="1">
        <f t="shared" si="0"/>
        <v>0</v>
      </c>
      <c r="H22" s="1"/>
      <c r="I22" s="1"/>
      <c r="J22" s="1"/>
    </row>
    <row r="23" spans="1:10" x14ac:dyDescent="0.3">
      <c r="A23" s="1">
        <v>21</v>
      </c>
      <c r="B23" s="1" t="s">
        <v>22</v>
      </c>
      <c r="C23" s="1">
        <v>22000</v>
      </c>
      <c r="D23" s="1">
        <v>6000</v>
      </c>
      <c r="E23" s="1">
        <v>0</v>
      </c>
      <c r="F23" s="1">
        <v>0</v>
      </c>
      <c r="G23" s="1">
        <f t="shared" si="0"/>
        <v>0</v>
      </c>
      <c r="H23" s="1"/>
      <c r="I23" s="1"/>
      <c r="J23" s="1"/>
    </row>
    <row r="24" spans="1:10" x14ac:dyDescent="0.3">
      <c r="A24" s="1">
        <v>22</v>
      </c>
      <c r="B24" s="1" t="s">
        <v>44</v>
      </c>
      <c r="C24" s="1">
        <v>22000</v>
      </c>
      <c r="D24" s="1">
        <v>6000</v>
      </c>
      <c r="E24" s="1">
        <v>0</v>
      </c>
      <c r="F24" s="1">
        <v>0</v>
      </c>
      <c r="G24" s="1">
        <f t="shared" si="0"/>
        <v>0</v>
      </c>
      <c r="H24" s="1"/>
      <c r="I24" s="1"/>
      <c r="J24" s="1"/>
    </row>
    <row r="25" spans="1:10" x14ac:dyDescent="0.3">
      <c r="A25" s="1">
        <v>23</v>
      </c>
      <c r="B25" s="1" t="s">
        <v>33</v>
      </c>
      <c r="C25" s="1">
        <v>22000</v>
      </c>
      <c r="D25" s="1">
        <v>6000</v>
      </c>
      <c r="E25" s="1">
        <v>0</v>
      </c>
      <c r="F25" s="1">
        <v>0</v>
      </c>
      <c r="G25" s="1">
        <f t="shared" si="0"/>
        <v>0</v>
      </c>
      <c r="H25" s="1"/>
      <c r="I25" s="1"/>
      <c r="J25" s="1"/>
    </row>
    <row r="26" spans="1:10" x14ac:dyDescent="0.3">
      <c r="A26" s="1">
        <v>24</v>
      </c>
      <c r="B26" s="1" t="s">
        <v>41</v>
      </c>
      <c r="C26" s="1">
        <v>22000</v>
      </c>
      <c r="D26" s="1">
        <v>6000</v>
      </c>
      <c r="E26" s="1">
        <v>0</v>
      </c>
      <c r="F26" s="1">
        <v>0</v>
      </c>
      <c r="G26" s="1">
        <f t="shared" si="0"/>
        <v>0</v>
      </c>
      <c r="H26" s="1"/>
      <c r="I26" s="1"/>
      <c r="J26" s="1"/>
    </row>
    <row r="27" spans="1:10" x14ac:dyDescent="0.3">
      <c r="A27" s="1">
        <v>25</v>
      </c>
      <c r="B27" s="1" t="s">
        <v>29</v>
      </c>
      <c r="C27" s="1">
        <v>22000</v>
      </c>
      <c r="D27" s="1">
        <v>6000</v>
      </c>
      <c r="E27" s="1">
        <v>0</v>
      </c>
      <c r="F27" s="1">
        <v>0</v>
      </c>
      <c r="G27" s="1">
        <f t="shared" si="0"/>
        <v>0</v>
      </c>
      <c r="H27" s="1"/>
      <c r="I27" s="1"/>
      <c r="J27" s="1"/>
    </row>
    <row r="28" spans="1:10" x14ac:dyDescent="0.3">
      <c r="A28" s="1">
        <v>26</v>
      </c>
      <c r="B28" s="1" t="s">
        <v>42</v>
      </c>
      <c r="C28" s="1">
        <v>22000</v>
      </c>
      <c r="D28" s="1">
        <v>6000</v>
      </c>
      <c r="E28" s="1">
        <v>0</v>
      </c>
      <c r="F28" s="1">
        <v>0</v>
      </c>
      <c r="G28" s="1">
        <f t="shared" si="0"/>
        <v>0</v>
      </c>
      <c r="H28" s="1"/>
      <c r="I28" s="1"/>
      <c r="J28" s="1"/>
    </row>
    <row r="29" spans="1:10" x14ac:dyDescent="0.3">
      <c r="A29" s="1">
        <v>27</v>
      </c>
      <c r="B29" s="11" t="s">
        <v>7</v>
      </c>
      <c r="C29" s="1">
        <v>22000</v>
      </c>
      <c r="D29" s="1">
        <v>6000</v>
      </c>
      <c r="E29" s="1">
        <v>40000</v>
      </c>
      <c r="F29" s="1">
        <v>10000</v>
      </c>
      <c r="G29" s="1">
        <f t="shared" si="0"/>
        <v>30000</v>
      </c>
      <c r="H29" s="1"/>
      <c r="I29" s="1"/>
      <c r="J29" s="1"/>
    </row>
    <row r="30" spans="1:10" x14ac:dyDescent="0.3">
      <c r="A30" s="1">
        <v>28</v>
      </c>
      <c r="B30" s="1" t="s">
        <v>10</v>
      </c>
      <c r="C30" s="1">
        <v>22000</v>
      </c>
      <c r="D30" s="1">
        <v>6000</v>
      </c>
      <c r="E30" s="1">
        <v>50000</v>
      </c>
      <c r="F30" s="1">
        <v>10000</v>
      </c>
      <c r="G30" s="1">
        <f t="shared" si="0"/>
        <v>40000</v>
      </c>
      <c r="H30" s="1"/>
      <c r="I30" s="1"/>
      <c r="J30" s="1"/>
    </row>
    <row r="31" spans="1:10" x14ac:dyDescent="0.3">
      <c r="A31" s="1">
        <v>29</v>
      </c>
      <c r="B31" s="1" t="s">
        <v>25</v>
      </c>
      <c r="C31" s="1">
        <v>22000</v>
      </c>
      <c r="D31" s="1">
        <v>6000</v>
      </c>
      <c r="E31" s="1">
        <v>0</v>
      </c>
      <c r="F31" s="1">
        <v>0</v>
      </c>
      <c r="G31" s="1">
        <f t="shared" si="0"/>
        <v>0</v>
      </c>
      <c r="H31" s="1"/>
      <c r="I31" s="1"/>
      <c r="J31" s="1"/>
    </row>
    <row r="32" spans="1:10" x14ac:dyDescent="0.3">
      <c r="A32" s="1">
        <v>30</v>
      </c>
      <c r="B32" s="1" t="s">
        <v>21</v>
      </c>
      <c r="C32" s="1">
        <v>22000</v>
      </c>
      <c r="D32" s="1">
        <v>6000</v>
      </c>
      <c r="E32" s="1">
        <v>0</v>
      </c>
      <c r="F32" s="1">
        <v>0</v>
      </c>
      <c r="G32" s="1">
        <f t="shared" si="0"/>
        <v>0</v>
      </c>
      <c r="H32" s="1"/>
      <c r="I32" s="1"/>
      <c r="J32" s="1"/>
    </row>
    <row r="33" spans="1:10" x14ac:dyDescent="0.3">
      <c r="A33" s="1">
        <v>31</v>
      </c>
      <c r="B33" s="1" t="s">
        <v>18</v>
      </c>
      <c r="C33" s="1">
        <v>22000</v>
      </c>
      <c r="D33" s="1">
        <v>6000</v>
      </c>
      <c r="E33" s="1">
        <v>0</v>
      </c>
      <c r="F33" s="1">
        <v>0</v>
      </c>
      <c r="G33" s="1">
        <f t="shared" si="0"/>
        <v>0</v>
      </c>
      <c r="H33" s="1"/>
      <c r="I33" s="1"/>
      <c r="J33" s="1"/>
    </row>
    <row r="34" spans="1:10" x14ac:dyDescent="0.3">
      <c r="A34" s="1">
        <v>32</v>
      </c>
      <c r="B34" s="11" t="s">
        <v>53</v>
      </c>
      <c r="C34" s="1">
        <v>22000</v>
      </c>
      <c r="D34" s="1">
        <v>6000</v>
      </c>
      <c r="E34" s="1">
        <v>100000</v>
      </c>
      <c r="F34" s="1">
        <v>10000</v>
      </c>
      <c r="G34" s="1">
        <f t="shared" si="0"/>
        <v>90000</v>
      </c>
      <c r="H34" s="1"/>
      <c r="I34" s="1"/>
      <c r="J34" s="1"/>
    </row>
    <row r="35" spans="1:10" x14ac:dyDescent="0.3">
      <c r="A35" s="1">
        <v>33</v>
      </c>
      <c r="B35" s="1" t="s">
        <v>50</v>
      </c>
      <c r="C35" s="1">
        <v>22000</v>
      </c>
      <c r="D35" s="1">
        <v>6000</v>
      </c>
      <c r="E35" s="1">
        <v>50000</v>
      </c>
      <c r="F35" s="1">
        <v>10000</v>
      </c>
      <c r="G35" s="1">
        <f t="shared" si="0"/>
        <v>40000</v>
      </c>
      <c r="H35" s="1"/>
      <c r="I35" s="1"/>
      <c r="J35" s="1"/>
    </row>
    <row r="36" spans="1:10" x14ac:dyDescent="0.3">
      <c r="A36" s="1">
        <v>34</v>
      </c>
      <c r="B36" s="1" t="s">
        <v>40</v>
      </c>
      <c r="C36" s="1">
        <v>22000</v>
      </c>
      <c r="D36" s="1">
        <v>6000</v>
      </c>
      <c r="E36" s="1">
        <v>0</v>
      </c>
      <c r="F36" s="1">
        <v>0</v>
      </c>
      <c r="G36" s="1">
        <f t="shared" si="0"/>
        <v>0</v>
      </c>
      <c r="H36" s="1"/>
      <c r="I36" s="1"/>
      <c r="J36" s="1"/>
    </row>
    <row r="37" spans="1:10" x14ac:dyDescent="0.3">
      <c r="A37" s="1">
        <v>35</v>
      </c>
      <c r="B37" s="1" t="s">
        <v>39</v>
      </c>
      <c r="C37" s="1">
        <v>22000</v>
      </c>
      <c r="D37" s="1">
        <v>6000</v>
      </c>
      <c r="E37" s="1">
        <v>50000</v>
      </c>
      <c r="F37" s="1">
        <v>0</v>
      </c>
      <c r="G37" s="1">
        <f t="shared" si="0"/>
        <v>50000</v>
      </c>
      <c r="H37" s="1"/>
      <c r="I37" s="1"/>
      <c r="J37" s="1"/>
    </row>
    <row r="38" spans="1:10" x14ac:dyDescent="0.3">
      <c r="A38" s="1">
        <v>36</v>
      </c>
      <c r="B38" s="11" t="s">
        <v>30</v>
      </c>
      <c r="C38" s="1">
        <v>22000</v>
      </c>
      <c r="D38" s="1">
        <v>6000</v>
      </c>
      <c r="E38" s="1">
        <v>40000</v>
      </c>
      <c r="F38" s="1">
        <v>10000</v>
      </c>
      <c r="G38" s="1">
        <f t="shared" si="0"/>
        <v>30000</v>
      </c>
      <c r="H38" s="1"/>
      <c r="I38" s="1"/>
      <c r="J38" s="1"/>
    </row>
    <row r="39" spans="1:10" x14ac:dyDescent="0.3">
      <c r="A39" s="1">
        <v>37</v>
      </c>
      <c r="B39" s="11" t="s">
        <v>8</v>
      </c>
      <c r="C39" s="1">
        <v>22000</v>
      </c>
      <c r="D39" s="1">
        <v>6000</v>
      </c>
      <c r="E39" s="1">
        <v>0</v>
      </c>
      <c r="F39" s="1">
        <v>0</v>
      </c>
      <c r="G39" s="1">
        <f t="shared" si="0"/>
        <v>0</v>
      </c>
      <c r="H39" s="1"/>
      <c r="I39" s="1"/>
      <c r="J39" s="1"/>
    </row>
    <row r="40" spans="1:10" x14ac:dyDescent="0.3">
      <c r="A40" s="1">
        <v>38</v>
      </c>
      <c r="B40" s="1" t="s">
        <v>20</v>
      </c>
      <c r="C40" s="1">
        <v>22000</v>
      </c>
      <c r="D40" s="1">
        <v>6000</v>
      </c>
      <c r="E40" s="1">
        <v>50000</v>
      </c>
      <c r="F40" s="1">
        <v>10000</v>
      </c>
      <c r="G40" s="1">
        <f t="shared" si="0"/>
        <v>40000</v>
      </c>
      <c r="H40" s="1"/>
      <c r="I40" s="1"/>
      <c r="J40" s="1"/>
    </row>
    <row r="41" spans="1:10" x14ac:dyDescent="0.3">
      <c r="A41" s="1">
        <v>39</v>
      </c>
      <c r="B41" s="7" t="s">
        <v>47</v>
      </c>
      <c r="C41" s="1">
        <v>22000</v>
      </c>
      <c r="D41" s="1">
        <v>6000</v>
      </c>
      <c r="E41" s="1">
        <v>50000</v>
      </c>
      <c r="F41" s="1">
        <v>10000</v>
      </c>
      <c r="G41" s="1">
        <f t="shared" si="0"/>
        <v>40000</v>
      </c>
      <c r="H41" s="1"/>
      <c r="I41" s="1"/>
      <c r="J41" s="1"/>
    </row>
    <row r="42" spans="1:10" x14ac:dyDescent="0.3">
      <c r="A42" s="1">
        <v>40</v>
      </c>
      <c r="B42" s="1" t="s">
        <v>37</v>
      </c>
      <c r="C42" s="1">
        <v>22000</v>
      </c>
      <c r="D42" s="1">
        <v>6000</v>
      </c>
      <c r="E42" s="1">
        <v>0</v>
      </c>
      <c r="F42" s="1">
        <v>0</v>
      </c>
      <c r="G42" s="1">
        <f t="shared" si="0"/>
        <v>0</v>
      </c>
      <c r="H42" s="1"/>
      <c r="I42" s="1"/>
      <c r="J42" s="1"/>
    </row>
    <row r="43" spans="1:10" x14ac:dyDescent="0.3">
      <c r="A43" s="1">
        <v>41</v>
      </c>
      <c r="B43" s="7" t="s">
        <v>9</v>
      </c>
      <c r="C43" s="1">
        <v>22000</v>
      </c>
      <c r="D43" s="1">
        <v>6000</v>
      </c>
      <c r="E43" s="1">
        <v>30000</v>
      </c>
      <c r="F43" s="1">
        <v>10000</v>
      </c>
      <c r="G43" s="1">
        <f t="shared" si="0"/>
        <v>20000</v>
      </c>
      <c r="H43" s="1"/>
      <c r="I43" s="1"/>
      <c r="J43" s="1"/>
    </row>
    <row r="44" spans="1:10" x14ac:dyDescent="0.3">
      <c r="A44" s="1">
        <v>42</v>
      </c>
      <c r="B44" s="1" t="s">
        <v>48</v>
      </c>
      <c r="C44" s="1">
        <v>22000</v>
      </c>
      <c r="D44" s="1">
        <v>6000</v>
      </c>
      <c r="E44" s="1">
        <v>0</v>
      </c>
      <c r="F44" s="1">
        <v>0</v>
      </c>
      <c r="G44" s="1">
        <f t="shared" si="0"/>
        <v>0</v>
      </c>
      <c r="H44" s="1"/>
      <c r="I44" s="1"/>
      <c r="J44" s="1"/>
    </row>
    <row r="45" spans="1:10" x14ac:dyDescent="0.3">
      <c r="A45" s="1">
        <v>43</v>
      </c>
      <c r="B45" s="1" t="s">
        <v>35</v>
      </c>
      <c r="C45" s="1">
        <v>22000</v>
      </c>
      <c r="D45" s="1">
        <v>6000</v>
      </c>
      <c r="E45" s="1">
        <v>0</v>
      </c>
      <c r="F45" s="1">
        <v>0</v>
      </c>
      <c r="G45" s="1">
        <f t="shared" si="0"/>
        <v>0</v>
      </c>
      <c r="H45" s="1"/>
      <c r="I45" s="1"/>
      <c r="J45" s="1"/>
    </row>
    <row r="46" spans="1:10" x14ac:dyDescent="0.3">
      <c r="A46" s="1">
        <v>44</v>
      </c>
      <c r="B46" s="7" t="s">
        <v>32</v>
      </c>
      <c r="C46" s="1">
        <v>22000</v>
      </c>
      <c r="D46" s="1">
        <v>6000</v>
      </c>
      <c r="E46" s="1">
        <v>40000</v>
      </c>
      <c r="F46" s="1">
        <v>10000</v>
      </c>
      <c r="G46" s="1">
        <f t="shared" si="0"/>
        <v>30000</v>
      </c>
      <c r="H46" s="1"/>
      <c r="I46" s="1"/>
      <c r="J46" s="1"/>
    </row>
    <row r="47" spans="1:10" x14ac:dyDescent="0.3">
      <c r="A47" s="1">
        <v>45</v>
      </c>
      <c r="B47" s="1" t="s">
        <v>38</v>
      </c>
      <c r="C47" s="1">
        <v>22000</v>
      </c>
      <c r="D47" s="1">
        <v>6000</v>
      </c>
      <c r="E47" s="1">
        <v>0</v>
      </c>
      <c r="F47" s="1">
        <v>0</v>
      </c>
      <c r="G47" s="1">
        <f t="shared" si="0"/>
        <v>0</v>
      </c>
      <c r="H47" s="1"/>
      <c r="I47" s="1"/>
      <c r="J47" s="1"/>
    </row>
    <row r="48" spans="1:10" x14ac:dyDescent="0.3">
      <c r="A48" s="1">
        <v>46</v>
      </c>
      <c r="B48" s="1" t="s">
        <v>28</v>
      </c>
      <c r="C48" s="1">
        <v>22000</v>
      </c>
      <c r="D48" s="1">
        <v>6000</v>
      </c>
      <c r="E48" s="1">
        <v>0</v>
      </c>
      <c r="F48" s="1">
        <v>0</v>
      </c>
      <c r="G48" s="1">
        <f t="shared" si="0"/>
        <v>0</v>
      </c>
      <c r="H48" s="1"/>
      <c r="I48" s="1"/>
      <c r="J48" s="1"/>
    </row>
    <row r="49" spans="1:10" x14ac:dyDescent="0.3">
      <c r="A49" s="1">
        <v>47</v>
      </c>
      <c r="B49" s="1" t="s">
        <v>12</v>
      </c>
      <c r="C49" s="1">
        <v>22000</v>
      </c>
      <c r="D49" s="1">
        <v>6000</v>
      </c>
      <c r="E49" s="1">
        <v>0</v>
      </c>
      <c r="F49" s="1">
        <v>0</v>
      </c>
      <c r="G49" s="1">
        <f t="shared" si="0"/>
        <v>0</v>
      </c>
      <c r="H49" s="1"/>
      <c r="I49" s="1"/>
      <c r="J49" s="1"/>
    </row>
    <row r="50" spans="1:10" x14ac:dyDescent="0.3">
      <c r="A50" s="1">
        <v>48</v>
      </c>
      <c r="B50" s="1" t="s">
        <v>16</v>
      </c>
      <c r="C50" s="37">
        <v>22000</v>
      </c>
      <c r="D50" s="1">
        <v>6000</v>
      </c>
      <c r="E50" s="1">
        <v>50000</v>
      </c>
      <c r="F50" s="1">
        <v>10000</v>
      </c>
      <c r="G50" s="1">
        <f t="shared" si="0"/>
        <v>40000</v>
      </c>
      <c r="H50" s="1"/>
      <c r="I50" s="1"/>
      <c r="J50" s="1"/>
    </row>
    <row r="51" spans="1:10" x14ac:dyDescent="0.3">
      <c r="B51" s="33" t="s">
        <v>80</v>
      </c>
      <c r="C51">
        <f>SUM(C3:C50)</f>
        <v>1056000</v>
      </c>
      <c r="D51">
        <f>SUM(D3:D50)</f>
        <v>288000</v>
      </c>
      <c r="E51">
        <f>SUM(E3:E50)</f>
        <v>780000</v>
      </c>
      <c r="F51">
        <f>SUM(F3:F50)</f>
        <v>150000</v>
      </c>
    </row>
  </sheetData>
  <mergeCells count="6">
    <mergeCell ref="A1:A2"/>
    <mergeCell ref="C1:D1"/>
    <mergeCell ref="E1:H1"/>
    <mergeCell ref="I1:I2"/>
    <mergeCell ref="J1:J2"/>
    <mergeCell ref="B1: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topLeftCell="A26" workbookViewId="0">
      <selection activeCell="G51" sqref="G51"/>
    </sheetView>
  </sheetViews>
  <sheetFormatPr defaultRowHeight="14.4" x14ac:dyDescent="0.3"/>
  <cols>
    <col min="1" max="1" width="4.5546875" customWidth="1"/>
    <col min="2" max="2" width="21.109375" customWidth="1"/>
    <col min="3" max="3" width="14.6640625" style="27" customWidth="1"/>
    <col min="4" max="4" width="10.6640625" style="27" customWidth="1"/>
    <col min="5" max="5" width="11.88671875" style="5" customWidth="1"/>
    <col min="6" max="6" width="9" style="5" customWidth="1"/>
    <col min="7" max="7" width="10.109375" style="5" customWidth="1"/>
    <col min="8" max="8" width="11.77734375" customWidth="1"/>
    <col min="9" max="9" width="11" bestFit="1" customWidth="1"/>
  </cols>
  <sheetData>
    <row r="1" spans="1:10" x14ac:dyDescent="0.3">
      <c r="B1" s="175" t="s">
        <v>64</v>
      </c>
      <c r="C1" s="175"/>
      <c r="D1" s="175"/>
      <c r="E1" s="175"/>
      <c r="F1" s="175"/>
      <c r="G1" s="175"/>
      <c r="H1" s="175"/>
      <c r="I1" s="175"/>
      <c r="J1" s="175"/>
    </row>
    <row r="2" spans="1:10" ht="36" customHeight="1" x14ac:dyDescent="0.3">
      <c r="A2" s="1" t="s">
        <v>0</v>
      </c>
      <c r="B2" s="1" t="s">
        <v>1</v>
      </c>
      <c r="C2" s="15" t="s">
        <v>55</v>
      </c>
      <c r="D2" s="15" t="s">
        <v>2</v>
      </c>
      <c r="E2" s="29" t="s">
        <v>52</v>
      </c>
      <c r="F2" s="15" t="s">
        <v>56</v>
      </c>
      <c r="G2" s="4" t="s">
        <v>3</v>
      </c>
      <c r="H2" s="16" t="s">
        <v>54</v>
      </c>
      <c r="I2" s="16" t="s">
        <v>4</v>
      </c>
      <c r="J2" s="29" t="s">
        <v>5</v>
      </c>
    </row>
    <row r="3" spans="1:10" x14ac:dyDescent="0.3">
      <c r="A3" s="1">
        <v>1</v>
      </c>
      <c r="B3" s="1" t="s">
        <v>6</v>
      </c>
      <c r="C3" s="29">
        <v>22000</v>
      </c>
      <c r="D3" s="29">
        <v>0</v>
      </c>
      <c r="E3" s="29">
        <v>0</v>
      </c>
      <c r="F3" s="4">
        <v>0</v>
      </c>
      <c r="G3" s="4">
        <f>(D3*10%/365*E3)</f>
        <v>0</v>
      </c>
      <c r="H3" s="4">
        <v>6000</v>
      </c>
      <c r="I3" s="4">
        <f>((D3/5)+F3+G3+H3)</f>
        <v>6000</v>
      </c>
      <c r="J3" s="1"/>
    </row>
    <row r="4" spans="1:10" x14ac:dyDescent="0.3">
      <c r="A4" s="1">
        <v>2</v>
      </c>
      <c r="B4" s="1" t="s">
        <v>17</v>
      </c>
      <c r="C4" s="29">
        <v>22000</v>
      </c>
      <c r="D4" s="29">
        <v>0</v>
      </c>
      <c r="E4" s="29">
        <v>0</v>
      </c>
      <c r="F4" s="4">
        <v>0</v>
      </c>
      <c r="G4" s="4">
        <f t="shared" ref="G4:G50" si="0">(D4*10%/365*E4)</f>
        <v>0</v>
      </c>
      <c r="H4" s="4">
        <v>6000</v>
      </c>
      <c r="I4" s="4">
        <f>((D4/5)+F4+G4+H4)</f>
        <v>6000</v>
      </c>
      <c r="J4" s="1"/>
    </row>
    <row r="5" spans="1:10" x14ac:dyDescent="0.3">
      <c r="A5" s="1">
        <v>3</v>
      </c>
      <c r="B5" s="1" t="s">
        <v>11</v>
      </c>
      <c r="C5" s="29">
        <v>22000</v>
      </c>
      <c r="D5" s="29">
        <v>0</v>
      </c>
      <c r="E5" s="29">
        <v>0</v>
      </c>
      <c r="F5" s="4">
        <v>0</v>
      </c>
      <c r="G5" s="4">
        <f t="shared" si="0"/>
        <v>0</v>
      </c>
      <c r="H5" s="4">
        <v>6000</v>
      </c>
      <c r="I5" s="4">
        <f>((D5/5)+F5+G5+H5)</f>
        <v>6000</v>
      </c>
      <c r="J5" s="1"/>
    </row>
    <row r="6" spans="1:10" x14ac:dyDescent="0.3">
      <c r="A6" s="1">
        <v>4</v>
      </c>
      <c r="B6" s="1" t="s">
        <v>51</v>
      </c>
      <c r="C6" s="29">
        <v>22000</v>
      </c>
      <c r="D6" s="29">
        <v>0</v>
      </c>
      <c r="E6" s="29">
        <v>0</v>
      </c>
      <c r="F6" s="4">
        <v>0</v>
      </c>
      <c r="G6" s="4">
        <f t="shared" si="0"/>
        <v>0</v>
      </c>
      <c r="H6" s="4">
        <v>6000</v>
      </c>
      <c r="I6" s="4">
        <f>((D6/5)+F6+G6+H6)</f>
        <v>6000</v>
      </c>
      <c r="J6" s="1"/>
    </row>
    <row r="7" spans="1:10" x14ac:dyDescent="0.3">
      <c r="A7" s="1">
        <v>5</v>
      </c>
      <c r="B7" s="1" t="s">
        <v>59</v>
      </c>
      <c r="C7" s="29">
        <v>22000</v>
      </c>
      <c r="D7" s="29">
        <v>0</v>
      </c>
      <c r="E7" s="29">
        <v>0</v>
      </c>
      <c r="F7" s="4">
        <v>0</v>
      </c>
      <c r="G7" s="4">
        <f t="shared" si="0"/>
        <v>0</v>
      </c>
      <c r="H7" s="4">
        <v>6000</v>
      </c>
      <c r="I7" s="4">
        <f>((D7/5)+F7+G7+H7)</f>
        <v>6000</v>
      </c>
      <c r="J7" s="1"/>
    </row>
    <row r="8" spans="1:10" s="14" customFormat="1" x14ac:dyDescent="0.3">
      <c r="A8" s="11">
        <v>6</v>
      </c>
      <c r="B8" s="11" t="s">
        <v>15</v>
      </c>
      <c r="C8" s="29">
        <v>22000</v>
      </c>
      <c r="D8" s="12">
        <v>30000</v>
      </c>
      <c r="E8" s="12">
        <v>94</v>
      </c>
      <c r="F8" s="13">
        <v>0</v>
      </c>
      <c r="G8" s="13">
        <f t="shared" si="0"/>
        <v>772.60273972602749</v>
      </c>
      <c r="H8" s="13">
        <v>6000</v>
      </c>
      <c r="I8" s="13">
        <f>((D8/4)+F8+G8+H8)</f>
        <v>14272.602739726028</v>
      </c>
      <c r="J8" s="11"/>
    </row>
    <row r="9" spans="1:10" x14ac:dyDescent="0.3">
      <c r="A9" s="1">
        <v>7</v>
      </c>
      <c r="B9" s="1" t="s">
        <v>34</v>
      </c>
      <c r="C9" s="29">
        <v>22000</v>
      </c>
      <c r="D9" s="29">
        <v>0</v>
      </c>
      <c r="E9" s="29">
        <v>0</v>
      </c>
      <c r="F9" s="4">
        <v>0</v>
      </c>
      <c r="G9" s="4">
        <f t="shared" si="0"/>
        <v>0</v>
      </c>
      <c r="H9" s="4">
        <v>6000</v>
      </c>
      <c r="I9" s="4">
        <f t="shared" ref="I9:I20" si="1">((D9/5)+F9+G9+H9)</f>
        <v>6000</v>
      </c>
      <c r="J9" s="1"/>
    </row>
    <row r="10" spans="1:10" s="14" customFormat="1" x14ac:dyDescent="0.3">
      <c r="A10" s="11">
        <v>8</v>
      </c>
      <c r="B10" s="11" t="s">
        <v>26</v>
      </c>
      <c r="C10" s="29">
        <v>22000</v>
      </c>
      <c r="D10" s="12">
        <v>70000</v>
      </c>
      <c r="E10" s="12">
        <v>94</v>
      </c>
      <c r="F10" s="13">
        <v>0</v>
      </c>
      <c r="G10" s="13">
        <f>(D10*10%/365*E10)</f>
        <v>1802.7397260273972</v>
      </c>
      <c r="H10" s="13">
        <v>6000</v>
      </c>
      <c r="I10" s="13">
        <f t="shared" si="1"/>
        <v>21802.739726027397</v>
      </c>
      <c r="J10" s="11"/>
    </row>
    <row r="11" spans="1:10" x14ac:dyDescent="0.3">
      <c r="A11" s="1">
        <v>9</v>
      </c>
      <c r="B11" s="1" t="s">
        <v>46</v>
      </c>
      <c r="C11" s="29">
        <v>22000</v>
      </c>
      <c r="D11" s="29">
        <v>50000</v>
      </c>
      <c r="E11" s="29">
        <v>0</v>
      </c>
      <c r="F11" s="4">
        <v>0</v>
      </c>
      <c r="G11" s="4">
        <f t="shared" si="0"/>
        <v>0</v>
      </c>
      <c r="H11" s="4">
        <v>6000</v>
      </c>
      <c r="I11" s="4">
        <f t="shared" si="1"/>
        <v>16000</v>
      </c>
      <c r="J11" s="1"/>
    </row>
    <row r="12" spans="1:10" s="14" customFormat="1" x14ac:dyDescent="0.3">
      <c r="A12" s="11">
        <v>10</v>
      </c>
      <c r="B12" s="11" t="s">
        <v>43</v>
      </c>
      <c r="C12" s="29">
        <v>22000</v>
      </c>
      <c r="D12" s="12">
        <v>50000</v>
      </c>
      <c r="E12" s="12">
        <v>94</v>
      </c>
      <c r="F12" s="13">
        <v>0</v>
      </c>
      <c r="G12" s="13">
        <v>0</v>
      </c>
      <c r="H12" s="13">
        <v>6000</v>
      </c>
      <c r="I12" s="13">
        <f t="shared" si="1"/>
        <v>16000</v>
      </c>
      <c r="J12" s="11"/>
    </row>
    <row r="13" spans="1:10" x14ac:dyDescent="0.3">
      <c r="A13" s="1">
        <v>11</v>
      </c>
      <c r="B13" s="1" t="s">
        <v>24</v>
      </c>
      <c r="C13" s="29">
        <v>22000</v>
      </c>
      <c r="D13" s="29">
        <v>0</v>
      </c>
      <c r="E13" s="29">
        <v>0</v>
      </c>
      <c r="F13" s="4">
        <v>0</v>
      </c>
      <c r="G13" s="4">
        <f t="shared" si="0"/>
        <v>0</v>
      </c>
      <c r="H13" s="4">
        <v>6000</v>
      </c>
      <c r="I13" s="4">
        <f t="shared" si="1"/>
        <v>6000</v>
      </c>
      <c r="J13" s="1"/>
    </row>
    <row r="14" spans="1:10" x14ac:dyDescent="0.3">
      <c r="A14" s="1">
        <v>12</v>
      </c>
      <c r="B14" s="1" t="s">
        <v>27</v>
      </c>
      <c r="C14" s="29">
        <v>22000</v>
      </c>
      <c r="D14" s="29">
        <v>0</v>
      </c>
      <c r="E14" s="29">
        <v>0</v>
      </c>
      <c r="F14" s="4">
        <v>0</v>
      </c>
      <c r="G14" s="4">
        <f t="shared" si="0"/>
        <v>0</v>
      </c>
      <c r="H14" s="4">
        <v>6000</v>
      </c>
      <c r="I14" s="4">
        <f t="shared" si="1"/>
        <v>6000</v>
      </c>
      <c r="J14" s="1"/>
    </row>
    <row r="15" spans="1:10" x14ac:dyDescent="0.3">
      <c r="A15" s="1">
        <v>13</v>
      </c>
      <c r="B15" s="1" t="s">
        <v>13</v>
      </c>
      <c r="C15" s="29">
        <v>22000</v>
      </c>
      <c r="D15" s="29">
        <v>0</v>
      </c>
      <c r="E15" s="29">
        <v>0</v>
      </c>
      <c r="F15" s="4">
        <v>0</v>
      </c>
      <c r="G15" s="4">
        <f t="shared" si="0"/>
        <v>0</v>
      </c>
      <c r="H15" s="4">
        <v>6000</v>
      </c>
      <c r="I15" s="4">
        <f t="shared" si="1"/>
        <v>6000</v>
      </c>
      <c r="J15" s="1"/>
    </row>
    <row r="16" spans="1:10" x14ac:dyDescent="0.3">
      <c r="A16" s="1">
        <v>14</v>
      </c>
      <c r="B16" s="1" t="s">
        <v>36</v>
      </c>
      <c r="C16" s="29">
        <v>22000</v>
      </c>
      <c r="D16" s="29">
        <v>0</v>
      </c>
      <c r="E16" s="29">
        <v>0</v>
      </c>
      <c r="F16" s="4">
        <v>0</v>
      </c>
      <c r="G16" s="4">
        <f t="shared" si="0"/>
        <v>0</v>
      </c>
      <c r="H16" s="4">
        <v>6000</v>
      </c>
      <c r="I16" s="4">
        <f t="shared" si="1"/>
        <v>6000</v>
      </c>
      <c r="J16" s="1"/>
    </row>
    <row r="17" spans="1:10" x14ac:dyDescent="0.3">
      <c r="A17" s="1">
        <v>15</v>
      </c>
      <c r="B17" s="1" t="s">
        <v>31</v>
      </c>
      <c r="C17" s="29">
        <v>22000</v>
      </c>
      <c r="D17" s="29">
        <v>0</v>
      </c>
      <c r="E17" s="29">
        <v>0</v>
      </c>
      <c r="F17" s="4">
        <v>0</v>
      </c>
      <c r="G17" s="4">
        <f t="shared" si="0"/>
        <v>0</v>
      </c>
      <c r="H17" s="4">
        <v>6000</v>
      </c>
      <c r="I17" s="4">
        <f t="shared" si="1"/>
        <v>6000</v>
      </c>
      <c r="J17" s="1"/>
    </row>
    <row r="18" spans="1:10" x14ac:dyDescent="0.3">
      <c r="A18" s="1">
        <v>16</v>
      </c>
      <c r="B18" s="1" t="s">
        <v>14</v>
      </c>
      <c r="C18" s="29">
        <v>22000</v>
      </c>
      <c r="D18" s="29">
        <v>0</v>
      </c>
      <c r="E18" s="29">
        <v>0</v>
      </c>
      <c r="F18" s="4">
        <v>0</v>
      </c>
      <c r="G18" s="4">
        <f t="shared" si="0"/>
        <v>0</v>
      </c>
      <c r="H18" s="4">
        <v>6000</v>
      </c>
      <c r="I18" s="4">
        <f t="shared" si="1"/>
        <v>6000</v>
      </c>
      <c r="J18" s="1"/>
    </row>
    <row r="19" spans="1:10" x14ac:dyDescent="0.3">
      <c r="A19" s="1">
        <v>17</v>
      </c>
      <c r="B19" s="1" t="s">
        <v>19</v>
      </c>
      <c r="C19" s="29">
        <v>22000</v>
      </c>
      <c r="D19" s="29">
        <v>0</v>
      </c>
      <c r="E19" s="29">
        <v>0</v>
      </c>
      <c r="F19" s="4">
        <v>0</v>
      </c>
      <c r="G19" s="4">
        <f t="shared" si="0"/>
        <v>0</v>
      </c>
      <c r="H19" s="4">
        <v>6000</v>
      </c>
      <c r="I19" s="4">
        <f t="shared" si="1"/>
        <v>6000</v>
      </c>
      <c r="J19" s="1"/>
    </row>
    <row r="20" spans="1:10" x14ac:dyDescent="0.3">
      <c r="A20" s="1">
        <v>18</v>
      </c>
      <c r="B20" s="1" t="s">
        <v>23</v>
      </c>
      <c r="C20" s="29">
        <v>22000</v>
      </c>
      <c r="D20" s="29">
        <v>0</v>
      </c>
      <c r="E20" s="29">
        <v>0</v>
      </c>
      <c r="F20" s="4">
        <v>0</v>
      </c>
      <c r="G20" s="4">
        <f t="shared" si="0"/>
        <v>0</v>
      </c>
      <c r="H20" s="4">
        <v>6000</v>
      </c>
      <c r="I20" s="4">
        <f t="shared" si="1"/>
        <v>6000</v>
      </c>
      <c r="J20" s="1"/>
    </row>
    <row r="21" spans="1:10" s="14" customFormat="1" x14ac:dyDescent="0.3">
      <c r="A21" s="11">
        <v>19</v>
      </c>
      <c r="B21" s="11" t="s">
        <v>45</v>
      </c>
      <c r="C21" s="29">
        <v>22000</v>
      </c>
      <c r="D21" s="12">
        <v>10000</v>
      </c>
      <c r="E21" s="12">
        <v>38</v>
      </c>
      <c r="F21" s="13">
        <v>0</v>
      </c>
      <c r="G21" s="13">
        <f t="shared" si="0"/>
        <v>104.10958904109589</v>
      </c>
      <c r="H21" s="13">
        <v>6000</v>
      </c>
      <c r="I21" s="13">
        <f>(F21+G21+H21)</f>
        <v>6104.1095890410961</v>
      </c>
      <c r="J21" s="11"/>
    </row>
    <row r="22" spans="1:10" x14ac:dyDescent="0.3">
      <c r="A22" s="1">
        <v>20</v>
      </c>
      <c r="B22" s="1" t="s">
        <v>49</v>
      </c>
      <c r="C22" s="29">
        <v>22000</v>
      </c>
      <c r="D22" s="29">
        <v>0</v>
      </c>
      <c r="E22" s="29">
        <v>0</v>
      </c>
      <c r="F22" s="4">
        <v>0</v>
      </c>
      <c r="G22" s="4">
        <f t="shared" si="0"/>
        <v>0</v>
      </c>
      <c r="H22" s="4">
        <v>6000</v>
      </c>
      <c r="I22" s="4">
        <f t="shared" ref="I22:I28" si="2">((D22/5)+F22+G22+H22)</f>
        <v>6000</v>
      </c>
      <c r="J22" s="1"/>
    </row>
    <row r="23" spans="1:10" x14ac:dyDescent="0.3">
      <c r="A23" s="1">
        <v>21</v>
      </c>
      <c r="B23" s="1" t="s">
        <v>22</v>
      </c>
      <c r="C23" s="29">
        <v>22000</v>
      </c>
      <c r="D23" s="29">
        <v>0</v>
      </c>
      <c r="E23" s="29">
        <v>0</v>
      </c>
      <c r="F23" s="4">
        <v>0</v>
      </c>
      <c r="G23" s="4">
        <f t="shared" si="0"/>
        <v>0</v>
      </c>
      <c r="H23" s="4">
        <v>6000</v>
      </c>
      <c r="I23" s="4">
        <f t="shared" si="2"/>
        <v>6000</v>
      </c>
      <c r="J23" s="1"/>
    </row>
    <row r="24" spans="1:10" x14ac:dyDescent="0.3">
      <c r="A24" s="1">
        <v>22</v>
      </c>
      <c r="B24" s="1" t="s">
        <v>44</v>
      </c>
      <c r="C24" s="29">
        <v>22000</v>
      </c>
      <c r="D24" s="29">
        <v>0</v>
      </c>
      <c r="E24" s="29">
        <v>0</v>
      </c>
      <c r="F24" s="4">
        <v>0</v>
      </c>
      <c r="G24" s="4">
        <f t="shared" si="0"/>
        <v>0</v>
      </c>
      <c r="H24" s="4">
        <v>6000</v>
      </c>
      <c r="I24" s="4">
        <f t="shared" si="2"/>
        <v>6000</v>
      </c>
      <c r="J24" s="1"/>
    </row>
    <row r="25" spans="1:10" x14ac:dyDescent="0.3">
      <c r="A25" s="1">
        <v>23</v>
      </c>
      <c r="B25" s="1" t="s">
        <v>33</v>
      </c>
      <c r="C25" s="29">
        <v>22000</v>
      </c>
      <c r="D25" s="29">
        <v>0</v>
      </c>
      <c r="E25" s="29">
        <v>0</v>
      </c>
      <c r="F25" s="4">
        <v>0</v>
      </c>
      <c r="G25" s="4">
        <f t="shared" si="0"/>
        <v>0</v>
      </c>
      <c r="H25" s="4">
        <v>6000</v>
      </c>
      <c r="I25" s="4">
        <f t="shared" si="2"/>
        <v>6000</v>
      </c>
      <c r="J25" s="1"/>
    </row>
    <row r="26" spans="1:10" x14ac:dyDescent="0.3">
      <c r="A26" s="1">
        <v>24</v>
      </c>
      <c r="B26" s="1" t="s">
        <v>41</v>
      </c>
      <c r="C26" s="29">
        <v>22000</v>
      </c>
      <c r="D26" s="29">
        <v>0</v>
      </c>
      <c r="E26" s="29">
        <v>0</v>
      </c>
      <c r="F26" s="4">
        <v>0</v>
      </c>
      <c r="G26" s="4">
        <f t="shared" si="0"/>
        <v>0</v>
      </c>
      <c r="H26" s="4">
        <v>6000</v>
      </c>
      <c r="I26" s="4">
        <f t="shared" si="2"/>
        <v>6000</v>
      </c>
      <c r="J26" s="1"/>
    </row>
    <row r="27" spans="1:10" x14ac:dyDescent="0.3">
      <c r="A27" s="1">
        <v>25</v>
      </c>
      <c r="B27" s="1" t="s">
        <v>29</v>
      </c>
      <c r="C27" s="29">
        <v>22000</v>
      </c>
      <c r="D27" s="29">
        <v>0</v>
      </c>
      <c r="E27" s="29">
        <v>0</v>
      </c>
      <c r="F27" s="4">
        <v>0</v>
      </c>
      <c r="G27" s="4">
        <f t="shared" si="0"/>
        <v>0</v>
      </c>
      <c r="H27" s="4">
        <v>6000</v>
      </c>
      <c r="I27" s="4">
        <f t="shared" si="2"/>
        <v>6000</v>
      </c>
      <c r="J27" s="1"/>
    </row>
    <row r="28" spans="1:10" x14ac:dyDescent="0.3">
      <c r="A28" s="1">
        <v>26</v>
      </c>
      <c r="B28" s="1" t="s">
        <v>42</v>
      </c>
      <c r="C28" s="29">
        <v>22000</v>
      </c>
      <c r="D28" s="29">
        <v>0</v>
      </c>
      <c r="E28" s="29">
        <v>0</v>
      </c>
      <c r="F28" s="4">
        <v>0</v>
      </c>
      <c r="G28" s="4">
        <f t="shared" si="0"/>
        <v>0</v>
      </c>
      <c r="H28" s="4">
        <v>6000</v>
      </c>
      <c r="I28" s="4">
        <f t="shared" si="2"/>
        <v>6000</v>
      </c>
      <c r="J28" s="1"/>
    </row>
    <row r="29" spans="1:10" s="14" customFormat="1" x14ac:dyDescent="0.3">
      <c r="A29" s="11">
        <v>27</v>
      </c>
      <c r="B29" s="11" t="s">
        <v>7</v>
      </c>
      <c r="C29" s="29">
        <v>22000</v>
      </c>
      <c r="D29" s="12">
        <v>40000</v>
      </c>
      <c r="E29" s="12">
        <v>94</v>
      </c>
      <c r="F29" s="13">
        <v>0</v>
      </c>
      <c r="G29" s="13">
        <f t="shared" si="0"/>
        <v>1030.1369863013699</v>
      </c>
      <c r="H29" s="13">
        <v>6000</v>
      </c>
      <c r="I29" s="13">
        <f>((D29/4)+F29+G29+H29)</f>
        <v>17030.136986301368</v>
      </c>
      <c r="J29" s="11"/>
    </row>
    <row r="30" spans="1:10" s="14" customFormat="1" x14ac:dyDescent="0.3">
      <c r="A30" s="11">
        <v>28</v>
      </c>
      <c r="B30" s="11" t="s">
        <v>10</v>
      </c>
      <c r="C30" s="29">
        <v>22000</v>
      </c>
      <c r="D30" s="12">
        <v>50000</v>
      </c>
      <c r="E30" s="12">
        <v>85</v>
      </c>
      <c r="F30" s="13">
        <v>0</v>
      </c>
      <c r="G30" s="13">
        <f t="shared" si="0"/>
        <v>1164.3835616438355</v>
      </c>
      <c r="H30" s="13">
        <v>6000</v>
      </c>
      <c r="I30" s="13">
        <f>((D30/5)+F30+G30+H30)</f>
        <v>17164.383561643837</v>
      </c>
      <c r="J30" s="11"/>
    </row>
    <row r="31" spans="1:10" x14ac:dyDescent="0.3">
      <c r="A31" s="1">
        <v>29</v>
      </c>
      <c r="B31" s="1" t="s">
        <v>25</v>
      </c>
      <c r="C31" s="29">
        <v>22000</v>
      </c>
      <c r="D31" s="29">
        <v>0</v>
      </c>
      <c r="E31" s="29">
        <v>0</v>
      </c>
      <c r="F31" s="4">
        <v>0</v>
      </c>
      <c r="G31" s="4">
        <f t="shared" si="0"/>
        <v>0</v>
      </c>
      <c r="H31" s="4">
        <v>6000</v>
      </c>
      <c r="I31" s="4">
        <f>((D31/5)+F31+G31+H31)</f>
        <v>6000</v>
      </c>
      <c r="J31" s="1"/>
    </row>
    <row r="32" spans="1:10" x14ac:dyDescent="0.3">
      <c r="A32" s="1">
        <v>30</v>
      </c>
      <c r="B32" s="1" t="s">
        <v>21</v>
      </c>
      <c r="C32" s="29">
        <v>22000</v>
      </c>
      <c r="D32" s="29">
        <v>0</v>
      </c>
      <c r="E32" s="29">
        <v>0</v>
      </c>
      <c r="F32" s="4">
        <v>0</v>
      </c>
      <c r="G32" s="4">
        <f t="shared" si="0"/>
        <v>0</v>
      </c>
      <c r="H32" s="4">
        <v>6000</v>
      </c>
      <c r="I32" s="4">
        <f>((D32/5)+F32+G32+H32)</f>
        <v>6000</v>
      </c>
      <c r="J32" s="1"/>
    </row>
    <row r="33" spans="1:10" x14ac:dyDescent="0.3">
      <c r="A33" s="1">
        <v>31</v>
      </c>
      <c r="B33" s="1" t="s">
        <v>18</v>
      </c>
      <c r="C33" s="29">
        <v>22000</v>
      </c>
      <c r="D33" s="29">
        <v>0</v>
      </c>
      <c r="E33" s="29">
        <v>0</v>
      </c>
      <c r="F33" s="4">
        <v>0</v>
      </c>
      <c r="G33" s="4">
        <f t="shared" si="0"/>
        <v>0</v>
      </c>
      <c r="H33" s="4">
        <v>6000</v>
      </c>
      <c r="I33" s="4">
        <f>((D33/5)+F33+G33+H33)</f>
        <v>6000</v>
      </c>
      <c r="J33" s="1"/>
    </row>
    <row r="34" spans="1:10" s="21" customFormat="1" x14ac:dyDescent="0.3">
      <c r="A34" s="1">
        <v>32</v>
      </c>
      <c r="B34" s="18" t="s">
        <v>53</v>
      </c>
      <c r="C34" s="29">
        <v>22000</v>
      </c>
      <c r="D34" s="19">
        <v>100000</v>
      </c>
      <c r="E34" s="19">
        <v>0</v>
      </c>
      <c r="F34" s="4">
        <v>0</v>
      </c>
      <c r="G34" s="4">
        <f t="shared" si="0"/>
        <v>0</v>
      </c>
      <c r="H34" s="20">
        <v>6000</v>
      </c>
      <c r="I34" s="4">
        <f>((D34/5)+F34+G34+H34)</f>
        <v>26000</v>
      </c>
      <c r="J34" s="18"/>
    </row>
    <row r="35" spans="1:10" s="14" customFormat="1" x14ac:dyDescent="0.3">
      <c r="A35" s="11">
        <v>33</v>
      </c>
      <c r="B35" s="11" t="s">
        <v>50</v>
      </c>
      <c r="C35" s="29">
        <v>22000</v>
      </c>
      <c r="D35" s="12">
        <v>50000</v>
      </c>
      <c r="E35" s="12">
        <v>12</v>
      </c>
      <c r="F35" s="13">
        <v>0</v>
      </c>
      <c r="G35" s="13">
        <f t="shared" si="0"/>
        <v>164.38356164383561</v>
      </c>
      <c r="H35" s="13">
        <v>6000</v>
      </c>
      <c r="I35" s="13">
        <f>(F35+G35+H35)</f>
        <v>6164.3835616438355</v>
      </c>
      <c r="J35" s="11"/>
    </row>
    <row r="36" spans="1:10" x14ac:dyDescent="0.3">
      <c r="A36" s="1">
        <v>34</v>
      </c>
      <c r="B36" s="1" t="s">
        <v>40</v>
      </c>
      <c r="C36" s="29">
        <v>22000</v>
      </c>
      <c r="D36" s="29">
        <v>0</v>
      </c>
      <c r="E36" s="29">
        <v>0</v>
      </c>
      <c r="F36" s="4">
        <v>0</v>
      </c>
      <c r="G36" s="4">
        <f t="shared" si="0"/>
        <v>0</v>
      </c>
      <c r="H36" s="4">
        <v>6000</v>
      </c>
      <c r="I36" s="4">
        <f>((D36/5)+F36+G36+H36)</f>
        <v>6000</v>
      </c>
      <c r="J36" s="1"/>
    </row>
    <row r="37" spans="1:10" x14ac:dyDescent="0.3">
      <c r="A37" s="1">
        <v>35</v>
      </c>
      <c r="B37" s="1" t="s">
        <v>39</v>
      </c>
      <c r="C37" s="29">
        <v>22000</v>
      </c>
      <c r="D37" s="29">
        <v>0</v>
      </c>
      <c r="E37" s="29">
        <v>0</v>
      </c>
      <c r="F37" s="4">
        <v>0</v>
      </c>
      <c r="G37" s="4">
        <f t="shared" si="0"/>
        <v>0</v>
      </c>
      <c r="H37" s="4">
        <v>6000</v>
      </c>
      <c r="I37" s="4">
        <f>((D37/5)+F37+G37+H37)</f>
        <v>6000</v>
      </c>
      <c r="J37" s="1"/>
    </row>
    <row r="38" spans="1:10" s="14" customFormat="1" x14ac:dyDescent="0.3">
      <c r="A38" s="11">
        <v>36</v>
      </c>
      <c r="B38" s="11" t="s">
        <v>30</v>
      </c>
      <c r="C38" s="29">
        <v>22000</v>
      </c>
      <c r="D38" s="12">
        <v>50000</v>
      </c>
      <c r="E38" s="12">
        <v>94</v>
      </c>
      <c r="F38" s="13">
        <v>236.1</v>
      </c>
      <c r="G38" s="13">
        <f t="shared" si="0"/>
        <v>1287.6712328767123</v>
      </c>
      <c r="H38" s="13">
        <v>6000</v>
      </c>
      <c r="I38" s="13">
        <f>((D38/5)+F38+G38+H38)</f>
        <v>17523.771232876712</v>
      </c>
      <c r="J38" s="11"/>
    </row>
    <row r="39" spans="1:10" x14ac:dyDescent="0.3">
      <c r="A39" s="1">
        <v>37</v>
      </c>
      <c r="B39" s="1" t="s">
        <v>8</v>
      </c>
      <c r="C39" s="29">
        <v>22000</v>
      </c>
      <c r="D39" s="29">
        <v>0</v>
      </c>
      <c r="E39" s="29">
        <v>0</v>
      </c>
      <c r="F39" s="20">
        <v>0</v>
      </c>
      <c r="G39" s="4">
        <f t="shared" si="0"/>
        <v>0</v>
      </c>
      <c r="H39" s="4">
        <v>6000</v>
      </c>
      <c r="I39" s="4">
        <f>((D39/5)+F39+G39+H39)</f>
        <v>6000</v>
      </c>
      <c r="J39" s="1"/>
    </row>
    <row r="40" spans="1:10" s="14" customFormat="1" x14ac:dyDescent="0.3">
      <c r="A40" s="11">
        <v>38</v>
      </c>
      <c r="B40" s="11" t="s">
        <v>20</v>
      </c>
      <c r="C40" s="29">
        <v>22000</v>
      </c>
      <c r="D40" s="12">
        <v>50000</v>
      </c>
      <c r="E40" s="12">
        <v>12</v>
      </c>
      <c r="F40" s="13">
        <v>0</v>
      </c>
      <c r="G40" s="13">
        <f t="shared" si="0"/>
        <v>164.38356164383561</v>
      </c>
      <c r="H40" s="13">
        <v>6000</v>
      </c>
      <c r="I40" s="13">
        <f>(F40+G40+H40)</f>
        <v>6164.3835616438355</v>
      </c>
      <c r="J40" s="11"/>
    </row>
    <row r="41" spans="1:10" s="14" customFormat="1" x14ac:dyDescent="0.3">
      <c r="A41" s="11">
        <v>39</v>
      </c>
      <c r="B41" s="7" t="s">
        <v>47</v>
      </c>
      <c r="C41" s="29">
        <v>22000</v>
      </c>
      <c r="D41" s="8">
        <v>50000</v>
      </c>
      <c r="E41" s="8">
        <v>94</v>
      </c>
      <c r="F41" s="9">
        <v>0</v>
      </c>
      <c r="G41" s="13">
        <v>0</v>
      </c>
      <c r="H41" s="9">
        <v>6000</v>
      </c>
      <c r="I41" s="13">
        <f>((D41/5)+F41+G41+H41)</f>
        <v>16000</v>
      </c>
      <c r="J41" s="7"/>
    </row>
    <row r="42" spans="1:10" x14ac:dyDescent="0.3">
      <c r="A42" s="1">
        <v>40</v>
      </c>
      <c r="B42" s="1" t="s">
        <v>37</v>
      </c>
      <c r="C42" s="29">
        <v>22000</v>
      </c>
      <c r="D42" s="29">
        <v>0</v>
      </c>
      <c r="E42" s="29">
        <v>0</v>
      </c>
      <c r="F42" s="4">
        <v>0</v>
      </c>
      <c r="G42" s="4">
        <f t="shared" si="0"/>
        <v>0</v>
      </c>
      <c r="H42" s="4">
        <v>6000</v>
      </c>
      <c r="I42" s="4">
        <f>((D42/5)+F42+G42+H42)</f>
        <v>6000</v>
      </c>
      <c r="J42" s="1"/>
    </row>
    <row r="43" spans="1:10" s="14" customFormat="1" x14ac:dyDescent="0.3">
      <c r="A43" s="11">
        <v>41</v>
      </c>
      <c r="B43" s="7" t="s">
        <v>9</v>
      </c>
      <c r="C43" s="29">
        <v>22000</v>
      </c>
      <c r="D43" s="8">
        <v>20000</v>
      </c>
      <c r="E43" s="8">
        <v>94</v>
      </c>
      <c r="F43" s="9">
        <v>0</v>
      </c>
      <c r="G43" s="13">
        <f t="shared" si="0"/>
        <v>515.06849315068496</v>
      </c>
      <c r="H43" s="9">
        <v>6000</v>
      </c>
      <c r="I43" s="13">
        <f>((D43/4)+F43+G43+H43)</f>
        <v>11515.068493150684</v>
      </c>
      <c r="J43" s="7"/>
    </row>
    <row r="44" spans="1:10" s="14" customFormat="1" x14ac:dyDescent="0.3">
      <c r="A44" s="11">
        <v>42</v>
      </c>
      <c r="B44" s="11" t="s">
        <v>48</v>
      </c>
      <c r="C44" s="29">
        <v>22000</v>
      </c>
      <c r="D44" s="12">
        <v>140000</v>
      </c>
      <c r="E44" s="12">
        <v>85</v>
      </c>
      <c r="F44" s="13">
        <v>0</v>
      </c>
      <c r="G44" s="13">
        <f t="shared" si="0"/>
        <v>3260.2739726027394</v>
      </c>
      <c r="H44" s="13">
        <v>6000</v>
      </c>
      <c r="I44" s="13">
        <f>((D44/5)+F44+G44+H44)</f>
        <v>37260.273972602736</v>
      </c>
      <c r="J44" s="11"/>
    </row>
    <row r="45" spans="1:10" x14ac:dyDescent="0.3">
      <c r="A45" s="1">
        <v>43</v>
      </c>
      <c r="B45" s="1" t="s">
        <v>35</v>
      </c>
      <c r="C45" s="29">
        <v>22000</v>
      </c>
      <c r="D45" s="29">
        <v>0</v>
      </c>
      <c r="E45" s="29">
        <v>0</v>
      </c>
      <c r="F45" s="4">
        <v>0</v>
      </c>
      <c r="G45" s="4">
        <f t="shared" si="0"/>
        <v>0</v>
      </c>
      <c r="H45" s="4">
        <v>6000</v>
      </c>
      <c r="I45" s="4">
        <f>((D45/5)+F45+G45+H45)</f>
        <v>6000</v>
      </c>
      <c r="J45" s="1"/>
    </row>
    <row r="46" spans="1:10" s="14" customFormat="1" x14ac:dyDescent="0.3">
      <c r="A46" s="11">
        <v>44</v>
      </c>
      <c r="B46" s="7" t="s">
        <v>32</v>
      </c>
      <c r="C46" s="29">
        <v>22000</v>
      </c>
      <c r="D46" s="8">
        <v>40000</v>
      </c>
      <c r="E46" s="8">
        <v>94</v>
      </c>
      <c r="F46" s="9">
        <v>0</v>
      </c>
      <c r="G46" s="13">
        <f t="shared" si="0"/>
        <v>1030.1369863013699</v>
      </c>
      <c r="H46" s="9">
        <v>6000</v>
      </c>
      <c r="I46" s="13">
        <f>((D46/4)+F46+G46+H46)</f>
        <v>17030.136986301368</v>
      </c>
      <c r="J46" s="7"/>
    </row>
    <row r="47" spans="1:10" x14ac:dyDescent="0.3">
      <c r="A47" s="1">
        <v>45</v>
      </c>
      <c r="B47" s="1" t="s">
        <v>38</v>
      </c>
      <c r="C47" s="29">
        <v>22000</v>
      </c>
      <c r="D47" s="29">
        <v>0</v>
      </c>
      <c r="E47" s="29">
        <v>0</v>
      </c>
      <c r="F47" s="4">
        <v>0</v>
      </c>
      <c r="G47" s="4">
        <f t="shared" si="0"/>
        <v>0</v>
      </c>
      <c r="H47" s="4">
        <v>6000</v>
      </c>
      <c r="I47" s="4">
        <f>((D47/5)+F47+G47+H47)</f>
        <v>6000</v>
      </c>
      <c r="J47" s="1"/>
    </row>
    <row r="48" spans="1:10" x14ac:dyDescent="0.3">
      <c r="A48" s="1">
        <v>46</v>
      </c>
      <c r="B48" s="1" t="s">
        <v>28</v>
      </c>
      <c r="C48" s="29">
        <v>22000</v>
      </c>
      <c r="D48" s="29">
        <v>0</v>
      </c>
      <c r="E48" s="29">
        <v>0</v>
      </c>
      <c r="F48" s="4">
        <v>0</v>
      </c>
      <c r="G48" s="4">
        <f t="shared" si="0"/>
        <v>0</v>
      </c>
      <c r="H48" s="4">
        <v>6000</v>
      </c>
      <c r="I48" s="4">
        <f>((D48/5)+F48+G48+H48)</f>
        <v>6000</v>
      </c>
      <c r="J48" s="1"/>
    </row>
    <row r="49" spans="1:10" x14ac:dyDescent="0.3">
      <c r="A49" s="1">
        <v>47</v>
      </c>
      <c r="B49" s="1" t="s">
        <v>12</v>
      </c>
      <c r="C49" s="29">
        <v>22000</v>
      </c>
      <c r="D49" s="29">
        <v>0</v>
      </c>
      <c r="E49" s="29">
        <v>0</v>
      </c>
      <c r="F49" s="4">
        <v>0</v>
      </c>
      <c r="G49" s="4">
        <f t="shared" si="0"/>
        <v>0</v>
      </c>
      <c r="H49" s="4">
        <v>6000</v>
      </c>
      <c r="I49" s="4">
        <f>((D49/5)+F49+G49+H49)</f>
        <v>6000</v>
      </c>
      <c r="J49" s="1"/>
    </row>
    <row r="50" spans="1:10" s="14" customFormat="1" x14ac:dyDescent="0.3">
      <c r="A50" s="11">
        <v>48</v>
      </c>
      <c r="B50" s="11" t="s">
        <v>16</v>
      </c>
      <c r="C50" s="29">
        <v>22000</v>
      </c>
      <c r="D50" s="12">
        <v>50000</v>
      </c>
      <c r="E50" s="12">
        <v>85</v>
      </c>
      <c r="F50" s="13">
        <v>0</v>
      </c>
      <c r="G50" s="13">
        <f t="shared" si="0"/>
        <v>1164.3835616438355</v>
      </c>
      <c r="H50" s="13">
        <v>6000</v>
      </c>
      <c r="I50" s="13">
        <f>((D50/5)+F50+G50+H50)</f>
        <v>17164.383561643837</v>
      </c>
      <c r="J50" s="11"/>
    </row>
    <row r="51" spans="1:10" x14ac:dyDescent="0.3">
      <c r="C51" s="27">
        <f>SUM(C3:C50)</f>
        <v>1056000</v>
      </c>
      <c r="D51" s="27">
        <f>SUM(D3:D50)</f>
        <v>850000</v>
      </c>
      <c r="E51" s="27"/>
      <c r="F51" s="27"/>
      <c r="G51" s="5">
        <f>SUM(G3:G50)</f>
        <v>12460.273972602739</v>
      </c>
      <c r="H51" s="5">
        <f>SUM(H3:H50)</f>
        <v>288000</v>
      </c>
      <c r="I51" s="6">
        <f>SUM(I3:I50)</f>
        <v>455196.37397260271</v>
      </c>
    </row>
    <row r="52" spans="1:10" x14ac:dyDescent="0.3">
      <c r="G52" s="5" t="s">
        <v>58</v>
      </c>
      <c r="I52" s="22">
        <v>2300</v>
      </c>
    </row>
    <row r="53" spans="1:10" ht="18" x14ac:dyDescent="0.35">
      <c r="I53" s="17">
        <f>I51-I52</f>
        <v>452896.37397260271</v>
      </c>
    </row>
    <row r="54" spans="1:10" x14ac:dyDescent="0.3">
      <c r="D54" s="27" t="s">
        <v>60</v>
      </c>
      <c r="E54" s="5">
        <f>H51+C51</f>
        <v>1344000</v>
      </c>
    </row>
    <row r="55" spans="1:10" x14ac:dyDescent="0.3">
      <c r="C55" s="176" t="s">
        <v>61</v>
      </c>
      <c r="D55" s="176"/>
      <c r="E55" s="5">
        <v>5331.1</v>
      </c>
    </row>
    <row r="56" spans="1:10" x14ac:dyDescent="0.3">
      <c r="C56" s="176" t="s">
        <v>62</v>
      </c>
      <c r="D56" s="176"/>
      <c r="E56" s="5">
        <v>12980.6</v>
      </c>
    </row>
    <row r="57" spans="1:10" x14ac:dyDescent="0.3">
      <c r="D57" s="27" t="s">
        <v>63</v>
      </c>
      <c r="E57" s="5">
        <f>SUM(E54:E56)</f>
        <v>1362311.7000000002</v>
      </c>
    </row>
  </sheetData>
  <mergeCells count="3">
    <mergeCell ref="B1:J1"/>
    <mergeCell ref="C55:D55"/>
    <mergeCell ref="C56:D5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0" zoomScaleNormal="80" workbookViewId="0">
      <selection activeCell="F25" sqref="F25"/>
    </sheetView>
  </sheetViews>
  <sheetFormatPr defaultRowHeight="14.4" x14ac:dyDescent="0.3"/>
  <cols>
    <col min="1" max="1" width="6.44140625" style="34" customWidth="1"/>
    <col min="2" max="2" width="17.109375" customWidth="1"/>
    <col min="3" max="3" width="8.88671875" style="34"/>
    <col min="4" max="4" width="7.5546875" style="27" customWidth="1"/>
    <col min="5" max="6" width="10.44140625" style="27" customWidth="1"/>
    <col min="7" max="7" width="10.44140625" style="41" customWidth="1"/>
    <col min="8" max="8" width="13.5546875" style="43" customWidth="1"/>
    <col min="9" max="9" width="11.44140625" style="34" customWidth="1"/>
    <col min="13" max="13" width="23.21875" customWidth="1"/>
    <col min="15" max="15" width="14.5546875" bestFit="1" customWidth="1"/>
  </cols>
  <sheetData>
    <row r="1" spans="1:16" ht="14.4" customHeight="1" x14ac:dyDescent="0.3">
      <c r="A1" s="177" t="s">
        <v>68</v>
      </c>
      <c r="B1" s="177" t="s">
        <v>69</v>
      </c>
      <c r="C1" s="180"/>
      <c r="D1" s="180"/>
      <c r="E1" s="180"/>
      <c r="F1" s="180"/>
      <c r="G1" s="180"/>
      <c r="H1" s="180"/>
      <c r="I1" s="180"/>
      <c r="J1" s="180"/>
    </row>
    <row r="2" spans="1:16" ht="57.6" customHeight="1" x14ac:dyDescent="0.3">
      <c r="A2" s="177"/>
      <c r="B2" s="177"/>
      <c r="C2" s="36" t="s">
        <v>75</v>
      </c>
      <c r="D2" s="30" t="s">
        <v>81</v>
      </c>
      <c r="E2" s="30" t="s">
        <v>76</v>
      </c>
      <c r="F2" s="30" t="s">
        <v>78</v>
      </c>
      <c r="G2" s="44" t="s">
        <v>84</v>
      </c>
      <c r="H2" s="42" t="s">
        <v>83</v>
      </c>
      <c r="I2" s="47" t="s">
        <v>85</v>
      </c>
      <c r="J2" s="32" t="s">
        <v>72</v>
      </c>
      <c r="L2" s="60" t="s">
        <v>68</v>
      </c>
      <c r="M2" s="60" t="s">
        <v>69</v>
      </c>
      <c r="N2" s="61" t="s">
        <v>97</v>
      </c>
      <c r="O2" s="31" t="s">
        <v>85</v>
      </c>
      <c r="P2" s="32" t="s">
        <v>72</v>
      </c>
    </row>
    <row r="3" spans="1:16" s="28" customFormat="1" ht="18" customHeight="1" x14ac:dyDescent="0.3">
      <c r="A3" s="36">
        <v>1</v>
      </c>
      <c r="B3" s="55" t="s">
        <v>15</v>
      </c>
      <c r="C3" s="36">
        <v>30000</v>
      </c>
      <c r="D3" s="36">
        <v>93</v>
      </c>
      <c r="E3" s="36">
        <v>10000</v>
      </c>
      <c r="F3" s="56">
        <f>(C3*10%/365*D3)</f>
        <v>764.38356164383572</v>
      </c>
      <c r="G3" s="57">
        <f>SUM(E3+F3)</f>
        <v>10764.383561643835</v>
      </c>
      <c r="H3" s="58">
        <v>6000</v>
      </c>
      <c r="I3" s="56">
        <f>SUM(G3+H3)</f>
        <v>16764.383561643837</v>
      </c>
      <c r="J3" s="32"/>
      <c r="K3" s="59"/>
      <c r="L3" s="35">
        <v>1</v>
      </c>
      <c r="M3" s="18" t="s">
        <v>87</v>
      </c>
      <c r="N3" s="40">
        <v>22000</v>
      </c>
      <c r="O3" s="54">
        <v>6000</v>
      </c>
      <c r="P3" s="32"/>
    </row>
    <row r="4" spans="1:16" x14ac:dyDescent="0.3">
      <c r="A4" s="35">
        <v>2</v>
      </c>
      <c r="B4" s="18" t="s">
        <v>26</v>
      </c>
      <c r="C4" s="35">
        <v>30000</v>
      </c>
      <c r="D4" s="29">
        <v>93</v>
      </c>
      <c r="E4" s="29">
        <v>10000</v>
      </c>
      <c r="F4" s="38">
        <f t="shared" ref="F4:F24" si="0">(C4*10%/365*D4)</f>
        <v>764.38356164383572</v>
      </c>
      <c r="G4" s="45">
        <f t="shared" ref="G4:G24" si="1">SUM(E4+F4)</f>
        <v>10764.383561643835</v>
      </c>
      <c r="H4" s="40">
        <v>6000</v>
      </c>
      <c r="I4" s="38">
        <f t="shared" ref="I4:I24" si="2">SUM(G4+H4)</f>
        <v>16764.383561643837</v>
      </c>
      <c r="J4" s="1"/>
      <c r="L4" s="35">
        <v>2</v>
      </c>
      <c r="M4" s="18" t="s">
        <v>11</v>
      </c>
      <c r="N4" s="40">
        <v>22000</v>
      </c>
      <c r="O4" s="54">
        <v>6000</v>
      </c>
      <c r="P4" s="32"/>
    </row>
    <row r="5" spans="1:16" x14ac:dyDescent="0.3">
      <c r="A5" s="35">
        <v>3</v>
      </c>
      <c r="B5" s="18" t="s">
        <v>46</v>
      </c>
      <c r="C5" s="35">
        <v>50000</v>
      </c>
      <c r="D5" s="29">
        <v>78</v>
      </c>
      <c r="E5" s="29">
        <v>10000</v>
      </c>
      <c r="F5" s="38">
        <f t="shared" si="0"/>
        <v>1068.4931506849314</v>
      </c>
      <c r="G5" s="45">
        <f t="shared" si="1"/>
        <v>11068.493150684932</v>
      </c>
      <c r="H5" s="40">
        <v>6000</v>
      </c>
      <c r="I5" s="38">
        <f t="shared" si="2"/>
        <v>17068.493150684932</v>
      </c>
      <c r="J5" s="1"/>
      <c r="L5" s="35">
        <v>3</v>
      </c>
      <c r="M5" s="18" t="s">
        <v>95</v>
      </c>
      <c r="N5" s="40">
        <v>22000</v>
      </c>
      <c r="O5" s="54">
        <v>6000</v>
      </c>
      <c r="P5" s="1"/>
    </row>
    <row r="6" spans="1:16" x14ac:dyDescent="0.3">
      <c r="A6" s="36">
        <v>4</v>
      </c>
      <c r="B6" s="18" t="s">
        <v>43</v>
      </c>
      <c r="C6" s="35">
        <v>50000</v>
      </c>
      <c r="D6" s="12">
        <v>222</v>
      </c>
      <c r="E6" s="29">
        <v>10000</v>
      </c>
      <c r="F6" s="38">
        <f t="shared" si="0"/>
        <v>3041.0958904109589</v>
      </c>
      <c r="G6" s="45">
        <f t="shared" si="1"/>
        <v>13041.095890410959</v>
      </c>
      <c r="H6" s="40">
        <v>6000</v>
      </c>
      <c r="I6" s="38">
        <f t="shared" si="2"/>
        <v>19041.095890410958</v>
      </c>
      <c r="J6" s="1"/>
      <c r="L6" s="35">
        <v>4</v>
      </c>
      <c r="M6" s="18" t="s">
        <v>59</v>
      </c>
      <c r="N6" s="40">
        <v>22000</v>
      </c>
      <c r="O6" s="54">
        <v>6000</v>
      </c>
      <c r="P6" s="1"/>
    </row>
    <row r="7" spans="1:16" x14ac:dyDescent="0.3">
      <c r="A7" s="35">
        <v>5</v>
      </c>
      <c r="B7" s="18" t="s">
        <v>14</v>
      </c>
      <c r="C7" s="35">
        <v>50000</v>
      </c>
      <c r="D7" s="29">
        <v>4</v>
      </c>
      <c r="E7" s="29">
        <v>0</v>
      </c>
      <c r="F7" s="38">
        <f t="shared" si="0"/>
        <v>54.794520547945204</v>
      </c>
      <c r="G7" s="45">
        <f t="shared" si="1"/>
        <v>54.794520547945204</v>
      </c>
      <c r="H7" s="40">
        <v>6000</v>
      </c>
      <c r="I7" s="38">
        <f t="shared" si="2"/>
        <v>6054.7945205479455</v>
      </c>
      <c r="J7" s="1"/>
      <c r="L7" s="35">
        <v>5</v>
      </c>
      <c r="M7" s="18" t="s">
        <v>24</v>
      </c>
      <c r="N7" s="40">
        <v>22000</v>
      </c>
      <c r="O7" s="54">
        <v>6000</v>
      </c>
      <c r="P7" s="1"/>
    </row>
    <row r="8" spans="1:16" x14ac:dyDescent="0.3">
      <c r="A8" s="35">
        <v>6</v>
      </c>
      <c r="B8" s="18" t="s">
        <v>45</v>
      </c>
      <c r="C8" s="35">
        <v>20000</v>
      </c>
      <c r="D8" s="29">
        <v>93</v>
      </c>
      <c r="E8" s="29">
        <v>4000</v>
      </c>
      <c r="F8" s="38">
        <f t="shared" si="0"/>
        <v>509.58904109589037</v>
      </c>
      <c r="G8" s="45">
        <f t="shared" si="1"/>
        <v>4509.58904109589</v>
      </c>
      <c r="H8" s="40">
        <v>6000</v>
      </c>
      <c r="I8" s="38">
        <f t="shared" si="2"/>
        <v>10509.589041095889</v>
      </c>
      <c r="J8" s="1"/>
      <c r="L8" s="35">
        <v>6</v>
      </c>
      <c r="M8" s="18" t="s">
        <v>90</v>
      </c>
      <c r="N8" s="40">
        <v>22000</v>
      </c>
      <c r="O8" s="54">
        <v>6000</v>
      </c>
      <c r="P8" s="1"/>
    </row>
    <row r="9" spans="1:16" x14ac:dyDescent="0.3">
      <c r="A9" s="36">
        <v>7</v>
      </c>
      <c r="B9" s="18" t="s">
        <v>7</v>
      </c>
      <c r="C9" s="35">
        <v>30000</v>
      </c>
      <c r="D9" s="29">
        <v>93</v>
      </c>
      <c r="E9" s="29">
        <v>10000</v>
      </c>
      <c r="F9" s="38">
        <f t="shared" si="0"/>
        <v>764.38356164383572</v>
      </c>
      <c r="G9" s="45">
        <f t="shared" si="1"/>
        <v>10764.383561643835</v>
      </c>
      <c r="H9" s="40">
        <v>6000</v>
      </c>
      <c r="I9" s="38">
        <f t="shared" si="2"/>
        <v>16764.383561643837</v>
      </c>
      <c r="J9" s="1"/>
      <c r="L9" s="35">
        <v>7</v>
      </c>
      <c r="M9" s="18" t="s">
        <v>13</v>
      </c>
      <c r="N9" s="40">
        <v>22000</v>
      </c>
      <c r="O9" s="54">
        <v>6000</v>
      </c>
      <c r="P9" s="1"/>
    </row>
    <row r="10" spans="1:16" x14ac:dyDescent="0.3">
      <c r="A10" s="35">
        <v>8</v>
      </c>
      <c r="B10" s="18" t="s">
        <v>10</v>
      </c>
      <c r="C10" s="35">
        <v>40000</v>
      </c>
      <c r="D10" s="29">
        <v>93</v>
      </c>
      <c r="E10" s="29">
        <v>10000</v>
      </c>
      <c r="F10" s="38">
        <f t="shared" si="0"/>
        <v>1019.1780821917807</v>
      </c>
      <c r="G10" s="45">
        <f t="shared" si="1"/>
        <v>11019.17808219178</v>
      </c>
      <c r="H10" s="40">
        <v>6000</v>
      </c>
      <c r="I10" s="38">
        <f t="shared" si="2"/>
        <v>17019.178082191778</v>
      </c>
      <c r="J10" s="1"/>
      <c r="L10" s="35">
        <v>8</v>
      </c>
      <c r="M10" s="18" t="s">
        <v>36</v>
      </c>
      <c r="N10" s="40">
        <v>22000</v>
      </c>
      <c r="O10" s="54">
        <v>6000</v>
      </c>
      <c r="P10" s="1"/>
    </row>
    <row r="11" spans="1:16" x14ac:dyDescent="0.3">
      <c r="A11" s="35">
        <v>9</v>
      </c>
      <c r="B11" s="18" t="s">
        <v>53</v>
      </c>
      <c r="C11" s="35">
        <v>100000</v>
      </c>
      <c r="D11" s="29">
        <v>67</v>
      </c>
      <c r="E11" s="29">
        <v>10000</v>
      </c>
      <c r="F11" s="38">
        <f t="shared" si="0"/>
        <v>1835.6164383561643</v>
      </c>
      <c r="G11" s="45">
        <f t="shared" si="1"/>
        <v>11835.616438356165</v>
      </c>
      <c r="H11" s="40">
        <v>6000</v>
      </c>
      <c r="I11" s="38">
        <f t="shared" si="2"/>
        <v>17835.616438356163</v>
      </c>
      <c r="J11" s="1"/>
      <c r="L11" s="35">
        <v>9</v>
      </c>
      <c r="M11" s="18" t="s">
        <v>31</v>
      </c>
      <c r="N11" s="40">
        <v>22000</v>
      </c>
      <c r="O11" s="54">
        <v>6000</v>
      </c>
      <c r="P11" s="1"/>
    </row>
    <row r="12" spans="1:16" x14ac:dyDescent="0.3">
      <c r="A12" s="36">
        <v>10</v>
      </c>
      <c r="B12" s="18" t="s">
        <v>50</v>
      </c>
      <c r="C12" s="35">
        <v>50000</v>
      </c>
      <c r="D12" s="29">
        <v>106</v>
      </c>
      <c r="E12" s="29">
        <v>10000</v>
      </c>
      <c r="F12" s="38">
        <f t="shared" si="0"/>
        <v>1452.0547945205478</v>
      </c>
      <c r="G12" s="45">
        <f t="shared" si="1"/>
        <v>11452.054794520547</v>
      </c>
      <c r="H12" s="40">
        <v>6000</v>
      </c>
      <c r="I12" s="38">
        <f t="shared" si="2"/>
        <v>17452.054794520547</v>
      </c>
      <c r="J12" s="1"/>
      <c r="L12" s="35">
        <v>10</v>
      </c>
      <c r="M12" s="18" t="s">
        <v>88</v>
      </c>
      <c r="N12" s="40">
        <v>22000</v>
      </c>
      <c r="O12" s="54">
        <v>6000</v>
      </c>
      <c r="P12" s="1"/>
    </row>
    <row r="13" spans="1:16" x14ac:dyDescent="0.3">
      <c r="A13" s="35">
        <v>11</v>
      </c>
      <c r="B13" s="18" t="s">
        <v>86</v>
      </c>
      <c r="C13" s="35">
        <v>50000</v>
      </c>
      <c r="D13" s="29">
        <v>32</v>
      </c>
      <c r="E13" s="29">
        <v>0</v>
      </c>
      <c r="F13" s="38">
        <f t="shared" si="0"/>
        <v>438.35616438356163</v>
      </c>
      <c r="G13" s="45">
        <f t="shared" si="1"/>
        <v>438.35616438356163</v>
      </c>
      <c r="H13" s="40">
        <v>6000</v>
      </c>
      <c r="I13" s="38">
        <f t="shared" si="2"/>
        <v>6438.3561643835619</v>
      </c>
      <c r="J13" s="1"/>
      <c r="L13" s="35">
        <v>11</v>
      </c>
      <c r="M13" s="18" t="s">
        <v>23</v>
      </c>
      <c r="N13" s="40">
        <v>22000</v>
      </c>
      <c r="O13" s="54">
        <v>6000</v>
      </c>
      <c r="P13" s="1"/>
    </row>
    <row r="14" spans="1:16" x14ac:dyDescent="0.3">
      <c r="A14" s="35">
        <v>12</v>
      </c>
      <c r="B14" s="18" t="s">
        <v>30</v>
      </c>
      <c r="C14" s="35">
        <v>40000</v>
      </c>
      <c r="D14" s="29">
        <v>93</v>
      </c>
      <c r="E14" s="29">
        <v>10000</v>
      </c>
      <c r="F14" s="38">
        <f t="shared" si="0"/>
        <v>1019.1780821917807</v>
      </c>
      <c r="G14" s="45">
        <f t="shared" si="1"/>
        <v>11019.17808219178</v>
      </c>
      <c r="H14" s="40">
        <v>6000</v>
      </c>
      <c r="I14" s="38">
        <f t="shared" si="2"/>
        <v>17019.178082191778</v>
      </c>
      <c r="J14" s="1"/>
      <c r="L14" s="35">
        <v>12</v>
      </c>
      <c r="M14" s="18" t="s">
        <v>96</v>
      </c>
      <c r="N14" s="40">
        <v>22000</v>
      </c>
      <c r="O14" s="54">
        <v>6000</v>
      </c>
      <c r="P14" s="1"/>
    </row>
    <row r="15" spans="1:16" x14ac:dyDescent="0.3">
      <c r="A15" s="36">
        <v>13</v>
      </c>
      <c r="B15" s="18" t="s">
        <v>20</v>
      </c>
      <c r="C15" s="35">
        <v>50000</v>
      </c>
      <c r="D15" s="29">
        <v>106</v>
      </c>
      <c r="E15" s="29">
        <v>10000</v>
      </c>
      <c r="F15" s="38">
        <f t="shared" si="0"/>
        <v>1452.0547945205478</v>
      </c>
      <c r="G15" s="45">
        <f t="shared" si="1"/>
        <v>11452.054794520547</v>
      </c>
      <c r="H15" s="40">
        <v>6000</v>
      </c>
      <c r="I15" s="38">
        <f t="shared" si="2"/>
        <v>17452.054794520547</v>
      </c>
      <c r="J15" s="1"/>
      <c r="L15" s="35">
        <v>13</v>
      </c>
      <c r="M15" s="18" t="s">
        <v>89</v>
      </c>
      <c r="N15" s="40">
        <v>22000</v>
      </c>
      <c r="O15" s="54">
        <v>6000</v>
      </c>
      <c r="P15" s="1"/>
    </row>
    <row r="16" spans="1:16" x14ac:dyDescent="0.3">
      <c r="A16" s="35">
        <v>14</v>
      </c>
      <c r="B16" s="39" t="s">
        <v>47</v>
      </c>
      <c r="C16" s="35">
        <v>50000</v>
      </c>
      <c r="D16" s="12">
        <v>203</v>
      </c>
      <c r="E16" s="29">
        <v>10000</v>
      </c>
      <c r="F16" s="38">
        <f t="shared" si="0"/>
        <v>2780.821917808219</v>
      </c>
      <c r="G16" s="45">
        <f t="shared" si="1"/>
        <v>12780.821917808218</v>
      </c>
      <c r="H16" s="40">
        <v>6000</v>
      </c>
      <c r="I16" s="38">
        <f t="shared" si="2"/>
        <v>18780.821917808218</v>
      </c>
      <c r="J16" s="1"/>
      <c r="L16" s="35">
        <v>14</v>
      </c>
      <c r="M16" s="39" t="s">
        <v>92</v>
      </c>
      <c r="N16" s="40">
        <v>22000</v>
      </c>
      <c r="O16" s="54">
        <v>6000</v>
      </c>
      <c r="P16" s="1"/>
    </row>
    <row r="17" spans="1:16" x14ac:dyDescent="0.3">
      <c r="A17" s="35">
        <v>15</v>
      </c>
      <c r="B17" s="39" t="s">
        <v>9</v>
      </c>
      <c r="C17" s="35">
        <v>30000</v>
      </c>
      <c r="D17" s="29">
        <v>93</v>
      </c>
      <c r="E17" s="29">
        <v>10000</v>
      </c>
      <c r="F17" s="38">
        <f t="shared" si="0"/>
        <v>764.38356164383572</v>
      </c>
      <c r="G17" s="45">
        <f t="shared" si="1"/>
        <v>10764.383561643835</v>
      </c>
      <c r="H17" s="40">
        <v>6000</v>
      </c>
      <c r="I17" s="38">
        <f t="shared" si="2"/>
        <v>16764.383561643837</v>
      </c>
      <c r="J17" s="1"/>
      <c r="L17" s="35">
        <v>15</v>
      </c>
      <c r="M17" s="18" t="s">
        <v>33</v>
      </c>
      <c r="N17" s="40">
        <v>22000</v>
      </c>
      <c r="O17" s="54">
        <v>6000</v>
      </c>
      <c r="P17" s="1"/>
    </row>
    <row r="18" spans="1:16" x14ac:dyDescent="0.3">
      <c r="A18" s="36">
        <v>16</v>
      </c>
      <c r="B18" s="18" t="s">
        <v>48</v>
      </c>
      <c r="C18" s="35">
        <v>40000</v>
      </c>
      <c r="D18" s="29">
        <v>93</v>
      </c>
      <c r="E18" s="29">
        <v>10000</v>
      </c>
      <c r="F18" s="38">
        <f t="shared" si="0"/>
        <v>1019.1780821917807</v>
      </c>
      <c r="G18" s="45">
        <f t="shared" si="1"/>
        <v>11019.17808219178</v>
      </c>
      <c r="H18" s="40">
        <v>6000</v>
      </c>
      <c r="I18" s="38">
        <f t="shared" si="2"/>
        <v>17019.178082191778</v>
      </c>
      <c r="J18" s="1"/>
      <c r="L18" s="35">
        <v>16</v>
      </c>
      <c r="M18" s="18" t="s">
        <v>41</v>
      </c>
      <c r="N18" s="40">
        <v>22000</v>
      </c>
      <c r="O18" s="54">
        <v>6000</v>
      </c>
      <c r="P18" s="1"/>
    </row>
    <row r="19" spans="1:16" x14ac:dyDescent="0.3">
      <c r="A19" s="35">
        <v>17</v>
      </c>
      <c r="B19" s="18" t="s">
        <v>82</v>
      </c>
      <c r="C19" s="35">
        <v>40000</v>
      </c>
      <c r="D19" s="29">
        <v>90</v>
      </c>
      <c r="E19" s="29">
        <v>0</v>
      </c>
      <c r="F19" s="38">
        <f t="shared" si="0"/>
        <v>986.30136986301363</v>
      </c>
      <c r="G19" s="45">
        <f t="shared" si="1"/>
        <v>986.30136986301363</v>
      </c>
      <c r="H19" s="40">
        <v>6000</v>
      </c>
      <c r="I19" s="38">
        <f t="shared" si="2"/>
        <v>6986.3013698630139</v>
      </c>
      <c r="J19" s="1"/>
      <c r="L19" s="35">
        <v>17</v>
      </c>
      <c r="M19" s="39" t="s">
        <v>93</v>
      </c>
      <c r="N19" s="40">
        <v>22000</v>
      </c>
      <c r="O19" s="54">
        <v>6000</v>
      </c>
      <c r="P19" s="1"/>
    </row>
    <row r="20" spans="1:16" x14ac:dyDescent="0.3">
      <c r="A20" s="35">
        <v>18</v>
      </c>
      <c r="B20" s="18" t="s">
        <v>16</v>
      </c>
      <c r="C20" s="46">
        <v>40000</v>
      </c>
      <c r="D20" s="29">
        <v>93</v>
      </c>
      <c r="E20" s="29">
        <v>10000</v>
      </c>
      <c r="F20" s="38">
        <f t="shared" si="0"/>
        <v>1019.1780821917807</v>
      </c>
      <c r="G20" s="45">
        <f t="shared" si="1"/>
        <v>11019.17808219178</v>
      </c>
      <c r="H20" s="40">
        <v>6000</v>
      </c>
      <c r="I20" s="38">
        <f t="shared" si="2"/>
        <v>17019.178082191778</v>
      </c>
      <c r="J20" s="1"/>
      <c r="L20" s="35">
        <v>18</v>
      </c>
      <c r="M20" s="18" t="s">
        <v>94</v>
      </c>
      <c r="N20" s="40">
        <v>22000</v>
      </c>
      <c r="O20" s="54">
        <v>6000</v>
      </c>
      <c r="P20" s="1"/>
    </row>
    <row r="21" spans="1:16" x14ac:dyDescent="0.3">
      <c r="A21" s="36">
        <v>19</v>
      </c>
      <c r="B21" s="18" t="s">
        <v>48</v>
      </c>
      <c r="C21" s="46">
        <v>100000</v>
      </c>
      <c r="D21" s="29">
        <v>62</v>
      </c>
      <c r="E21" s="29">
        <v>0</v>
      </c>
      <c r="F21" s="38">
        <f t="shared" si="0"/>
        <v>1698.6301369863013</v>
      </c>
      <c r="G21" s="45">
        <f t="shared" si="1"/>
        <v>1698.6301369863013</v>
      </c>
      <c r="H21" s="40">
        <v>0</v>
      </c>
      <c r="I21" s="38">
        <f t="shared" si="2"/>
        <v>1698.6301369863013</v>
      </c>
      <c r="J21" s="1"/>
      <c r="L21" s="35">
        <v>19</v>
      </c>
      <c r="M21" s="18" t="s">
        <v>25</v>
      </c>
      <c r="N21" s="40">
        <v>22000</v>
      </c>
      <c r="O21" s="54">
        <v>6000</v>
      </c>
      <c r="P21" s="1"/>
    </row>
    <row r="22" spans="1:16" x14ac:dyDescent="0.3">
      <c r="A22" s="35">
        <v>20</v>
      </c>
      <c r="B22" s="18" t="s">
        <v>26</v>
      </c>
      <c r="C22" s="46">
        <v>30000</v>
      </c>
      <c r="D22" s="29">
        <v>57</v>
      </c>
      <c r="E22" s="29">
        <v>10000</v>
      </c>
      <c r="F22" s="38">
        <f t="shared" si="0"/>
        <v>468.49315068493155</v>
      </c>
      <c r="G22" s="45">
        <f t="shared" si="1"/>
        <v>10468.493150684932</v>
      </c>
      <c r="H22" s="40">
        <v>0</v>
      </c>
      <c r="I22" s="38">
        <f t="shared" si="2"/>
        <v>10468.493150684932</v>
      </c>
      <c r="J22" s="1"/>
      <c r="L22" s="35">
        <v>20</v>
      </c>
      <c r="M22" s="18" t="s">
        <v>99</v>
      </c>
      <c r="N22" s="40">
        <v>22000</v>
      </c>
      <c r="O22" s="54">
        <v>6000</v>
      </c>
      <c r="P22" s="1"/>
    </row>
    <row r="23" spans="1:16" x14ac:dyDescent="0.3">
      <c r="A23" s="35">
        <v>21</v>
      </c>
      <c r="B23" s="18" t="s">
        <v>86</v>
      </c>
      <c r="C23" s="46">
        <v>50000</v>
      </c>
      <c r="D23" s="29">
        <v>100</v>
      </c>
      <c r="E23" s="29">
        <v>10000</v>
      </c>
      <c r="F23" s="38">
        <f t="shared" si="0"/>
        <v>1369.8630136986301</v>
      </c>
      <c r="G23" s="45">
        <f t="shared" si="1"/>
        <v>11369.86301369863</v>
      </c>
      <c r="H23" s="40">
        <v>0</v>
      </c>
      <c r="I23" s="38">
        <f t="shared" si="2"/>
        <v>11369.86301369863</v>
      </c>
      <c r="J23" s="1"/>
      <c r="L23" s="35">
        <v>21</v>
      </c>
      <c r="M23" s="18" t="s">
        <v>18</v>
      </c>
      <c r="N23" s="40">
        <v>22000</v>
      </c>
      <c r="O23" s="54">
        <v>6000</v>
      </c>
      <c r="P23" s="1"/>
    </row>
    <row r="24" spans="1:16" x14ac:dyDescent="0.3">
      <c r="A24" s="36">
        <v>22</v>
      </c>
      <c r="B24" s="37" t="s">
        <v>98</v>
      </c>
      <c r="C24" s="35">
        <v>30000</v>
      </c>
      <c r="D24" s="29">
        <v>93</v>
      </c>
      <c r="E24" s="35">
        <v>10000</v>
      </c>
      <c r="F24" s="38">
        <f t="shared" si="0"/>
        <v>764.38356164383572</v>
      </c>
      <c r="G24" s="45">
        <f t="shared" si="1"/>
        <v>10764.383561643835</v>
      </c>
      <c r="H24" s="40">
        <v>6000</v>
      </c>
      <c r="I24" s="38">
        <f t="shared" si="2"/>
        <v>16764.383561643837</v>
      </c>
      <c r="J24" s="1"/>
      <c r="L24" s="35">
        <v>22</v>
      </c>
      <c r="M24" s="18" t="s">
        <v>8</v>
      </c>
      <c r="N24" s="40">
        <v>22000</v>
      </c>
      <c r="O24" s="54">
        <v>6000</v>
      </c>
      <c r="P24" s="1"/>
    </row>
    <row r="25" spans="1:16" ht="15.6" x14ac:dyDescent="0.3">
      <c r="A25" s="35"/>
      <c r="B25" s="37"/>
      <c r="C25" s="35">
        <f>SUM(C3:C24)</f>
        <v>1000000</v>
      </c>
      <c r="D25" s="35"/>
      <c r="E25" s="35">
        <f t="shared" ref="E25:I25" si="3">SUM(E3:E24)</f>
        <v>174000</v>
      </c>
      <c r="F25" s="74">
        <f t="shared" si="3"/>
        <v>25054.794520547945</v>
      </c>
      <c r="G25" s="35">
        <f t="shared" si="3"/>
        <v>199054.79452054796</v>
      </c>
      <c r="H25" s="35">
        <f>SUM(H3:H24)</f>
        <v>114000</v>
      </c>
      <c r="I25" s="35">
        <f t="shared" si="3"/>
        <v>313054.79452054785</v>
      </c>
      <c r="J25" s="53"/>
      <c r="L25" s="35">
        <v>23</v>
      </c>
      <c r="M25" s="18" t="s">
        <v>37</v>
      </c>
      <c r="N25" s="40">
        <v>22000</v>
      </c>
      <c r="O25" s="54">
        <v>6000</v>
      </c>
      <c r="P25" s="1"/>
    </row>
    <row r="26" spans="1:16" x14ac:dyDescent="0.3">
      <c r="A26" s="48"/>
      <c r="B26" s="49"/>
      <c r="C26" s="48"/>
      <c r="D26" s="48"/>
      <c r="E26" s="48"/>
      <c r="F26" s="50"/>
      <c r="G26" s="51"/>
      <c r="H26" s="52"/>
      <c r="I26" s="50"/>
      <c r="J26" s="53"/>
      <c r="L26" s="35">
        <v>24</v>
      </c>
      <c r="M26" s="18" t="s">
        <v>35</v>
      </c>
      <c r="N26" s="40">
        <v>22000</v>
      </c>
      <c r="O26" s="54">
        <v>6000</v>
      </c>
      <c r="P26" s="1"/>
    </row>
    <row r="27" spans="1:16" x14ac:dyDescent="0.3">
      <c r="A27" s="48"/>
      <c r="B27" s="49"/>
      <c r="C27" s="48"/>
      <c r="D27" s="48"/>
      <c r="F27" s="50"/>
      <c r="G27" s="51"/>
      <c r="H27" s="52"/>
      <c r="I27" s="50"/>
      <c r="J27" s="53"/>
      <c r="L27" s="35">
        <v>25</v>
      </c>
      <c r="M27" s="18" t="s">
        <v>91</v>
      </c>
      <c r="N27" s="40">
        <v>22000</v>
      </c>
      <c r="O27" s="54">
        <v>6000</v>
      </c>
      <c r="P27" s="1"/>
    </row>
    <row r="28" spans="1:16" x14ac:dyDescent="0.3">
      <c r="A28" s="48"/>
      <c r="B28" s="49"/>
      <c r="C28" s="48"/>
      <c r="D28" s="48"/>
      <c r="E28" s="48"/>
      <c r="F28" s="50"/>
      <c r="G28" s="51"/>
      <c r="H28" s="52"/>
      <c r="I28" s="50"/>
      <c r="J28" s="53"/>
      <c r="L28" s="35">
        <v>26</v>
      </c>
      <c r="M28" s="18" t="s">
        <v>38</v>
      </c>
      <c r="N28" s="40">
        <v>22000</v>
      </c>
      <c r="O28" s="54">
        <v>6000</v>
      </c>
      <c r="P28" s="1"/>
    </row>
    <row r="29" spans="1:16" x14ac:dyDescent="0.3">
      <c r="A29" s="48"/>
      <c r="B29" s="49"/>
      <c r="C29" s="48"/>
      <c r="D29" s="48"/>
      <c r="E29" s="48"/>
      <c r="F29" s="50"/>
      <c r="G29" s="51"/>
      <c r="H29" s="52"/>
      <c r="I29" s="50"/>
      <c r="J29" s="53"/>
      <c r="L29" s="35">
        <v>27</v>
      </c>
      <c r="M29" s="18" t="s">
        <v>12</v>
      </c>
      <c r="N29" s="40">
        <v>22000</v>
      </c>
      <c r="O29" s="54">
        <v>6000</v>
      </c>
      <c r="P29" s="1"/>
    </row>
    <row r="30" spans="1:16" x14ac:dyDescent="0.3">
      <c r="A30" s="48"/>
      <c r="B30" s="49"/>
      <c r="C30" s="48"/>
      <c r="D30" s="48"/>
      <c r="E30" s="48"/>
      <c r="F30" s="50"/>
      <c r="G30" s="51"/>
      <c r="H30" s="52"/>
      <c r="I30" s="50"/>
      <c r="J30" s="53"/>
      <c r="L30" s="35">
        <v>28</v>
      </c>
      <c r="M30" s="18" t="s">
        <v>34</v>
      </c>
      <c r="N30" s="40">
        <v>22000</v>
      </c>
      <c r="O30" s="54">
        <v>6000</v>
      </c>
      <c r="P30" s="1"/>
    </row>
    <row r="31" spans="1:16" x14ac:dyDescent="0.3">
      <c r="A31" s="48"/>
      <c r="B31" s="49"/>
      <c r="C31" s="48"/>
      <c r="D31" s="48"/>
      <c r="E31" s="48"/>
      <c r="F31" s="50"/>
      <c r="G31" s="51"/>
      <c r="H31" s="52"/>
      <c r="I31" s="50"/>
      <c r="J31" s="53"/>
      <c r="L31" s="35">
        <v>29</v>
      </c>
      <c r="M31" s="18" t="s">
        <v>100</v>
      </c>
      <c r="N31" s="40">
        <v>22000</v>
      </c>
      <c r="O31" s="54">
        <v>6000</v>
      </c>
      <c r="P31" s="1"/>
    </row>
    <row r="32" spans="1:16" x14ac:dyDescent="0.3">
      <c r="A32" s="48"/>
      <c r="B32" s="49"/>
      <c r="C32" s="48"/>
      <c r="D32" s="48"/>
      <c r="E32" s="48"/>
      <c r="F32" s="50"/>
      <c r="G32" s="51"/>
      <c r="H32" s="52"/>
      <c r="I32" s="50"/>
      <c r="J32" s="53"/>
      <c r="L32" s="35"/>
      <c r="M32" s="18"/>
      <c r="N32" s="40"/>
      <c r="O32" s="54">
        <f>SUM(O3:O31)</f>
        <v>174000</v>
      </c>
      <c r="P32" s="1"/>
    </row>
    <row r="33" spans="1:17" x14ac:dyDescent="0.3">
      <c r="A33" s="48"/>
      <c r="C33" s="48"/>
      <c r="D33" s="48"/>
      <c r="E33" s="48"/>
      <c r="F33" s="50"/>
      <c r="G33" s="51"/>
      <c r="H33" s="52"/>
      <c r="I33" s="50"/>
      <c r="J33" s="53"/>
      <c r="L33" s="35"/>
      <c r="M33" s="18"/>
      <c r="N33" s="40"/>
      <c r="O33" s="38"/>
      <c r="P33" s="1"/>
    </row>
    <row r="34" spans="1:17" ht="21" x14ac:dyDescent="0.4">
      <c r="F34" s="41"/>
      <c r="L34" s="62"/>
      <c r="M34" s="63" t="s">
        <v>80</v>
      </c>
      <c r="N34" s="64"/>
      <c r="O34" s="65">
        <f>SUM(O32+H25)</f>
        <v>288000</v>
      </c>
      <c r="P34" s="66"/>
      <c r="Q34" s="67"/>
    </row>
    <row r="35" spans="1:17" x14ac:dyDescent="0.3">
      <c r="F35" s="41"/>
      <c r="L35" s="34"/>
      <c r="N35" s="43"/>
      <c r="O35" s="34"/>
    </row>
    <row r="36" spans="1:17" x14ac:dyDescent="0.3">
      <c r="F36" s="41"/>
      <c r="L36" s="34"/>
      <c r="N36" s="43"/>
      <c r="O36" s="34"/>
    </row>
    <row r="37" spans="1:17" x14ac:dyDescent="0.3">
      <c r="F37" s="41"/>
    </row>
    <row r="38" spans="1:17" x14ac:dyDescent="0.3">
      <c r="F38" s="41"/>
    </row>
    <row r="39" spans="1:17" x14ac:dyDescent="0.3">
      <c r="F39" s="41"/>
    </row>
    <row r="40" spans="1:17" x14ac:dyDescent="0.3">
      <c r="F40" s="41"/>
    </row>
    <row r="41" spans="1:17" x14ac:dyDescent="0.3">
      <c r="F41" s="41"/>
    </row>
    <row r="42" spans="1:17" x14ac:dyDescent="0.3">
      <c r="F42" s="41"/>
    </row>
  </sheetData>
  <sortState ref="M4:M29">
    <sortCondition ref="M3"/>
  </sortState>
  <mergeCells count="3">
    <mergeCell ref="C1:J1"/>
    <mergeCell ref="A1:A2"/>
    <mergeCell ref="B1:B2"/>
  </mergeCells>
  <pageMargins left="0.7" right="0.7" top="0.75" bottom="0.75" header="0.3" footer="0.3"/>
  <pageSetup scale="68" fitToHeight="0" orientation="landscape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workbookViewId="0">
      <selection activeCell="F25" sqref="F25"/>
    </sheetView>
  </sheetViews>
  <sheetFormatPr defaultRowHeight="14.4" x14ac:dyDescent="0.3"/>
  <cols>
    <col min="2" max="2" width="17.109375" customWidth="1"/>
    <col min="3" max="3" width="11.6640625" customWidth="1"/>
    <col min="6" max="6" width="11" customWidth="1"/>
    <col min="12" max="12" width="20.77734375" customWidth="1"/>
    <col min="13" max="13" width="12.21875" style="69" customWidth="1"/>
    <col min="14" max="14" width="8.88671875" style="69"/>
  </cols>
  <sheetData>
    <row r="1" spans="1:20" x14ac:dyDescent="0.3">
      <c r="A1" s="177" t="s">
        <v>68</v>
      </c>
      <c r="B1" s="177" t="s">
        <v>69</v>
      </c>
      <c r="C1" s="180"/>
      <c r="D1" s="180"/>
      <c r="E1" s="180"/>
      <c r="F1" s="180"/>
      <c r="G1" s="180"/>
      <c r="H1" s="180"/>
      <c r="I1" s="180"/>
      <c r="J1" s="180"/>
      <c r="K1" s="180"/>
    </row>
    <row r="2" spans="1:20" ht="72" x14ac:dyDescent="0.3">
      <c r="A2" s="177"/>
      <c r="B2" s="177"/>
      <c r="C2" s="70" t="s">
        <v>75</v>
      </c>
      <c r="D2" s="72" t="s">
        <v>81</v>
      </c>
      <c r="E2" s="72" t="s">
        <v>76</v>
      </c>
      <c r="F2" s="72" t="s">
        <v>78</v>
      </c>
      <c r="G2" s="44" t="s">
        <v>84</v>
      </c>
      <c r="H2" s="42" t="s">
        <v>83</v>
      </c>
      <c r="I2" s="47" t="s">
        <v>85</v>
      </c>
      <c r="J2" s="47"/>
      <c r="K2" s="32" t="s">
        <v>72</v>
      </c>
      <c r="L2" s="75" t="s">
        <v>69</v>
      </c>
      <c r="M2" s="76" t="s">
        <v>75</v>
      </c>
      <c r="N2" s="47" t="s">
        <v>81</v>
      </c>
      <c r="O2" s="47" t="s">
        <v>76</v>
      </c>
      <c r="P2" s="47" t="s">
        <v>78</v>
      </c>
      <c r="Q2" s="44" t="s">
        <v>84</v>
      </c>
      <c r="R2" s="42" t="s">
        <v>83</v>
      </c>
      <c r="S2" s="47" t="s">
        <v>85</v>
      </c>
      <c r="T2" s="75" t="s">
        <v>72</v>
      </c>
    </row>
    <row r="3" spans="1:20" x14ac:dyDescent="0.3">
      <c r="A3" s="70">
        <v>1</v>
      </c>
      <c r="B3" s="55" t="s">
        <v>15</v>
      </c>
      <c r="C3" s="70">
        <v>30000</v>
      </c>
      <c r="D3" s="70">
        <v>93</v>
      </c>
      <c r="E3" s="70">
        <v>10000</v>
      </c>
      <c r="F3" s="56">
        <f>(C3*10%/365*D3)</f>
        <v>764.38356164383572</v>
      </c>
      <c r="G3" s="57">
        <f>SUM(E3+F3)</f>
        <v>10764.383561643835</v>
      </c>
      <c r="H3" s="58">
        <v>6000</v>
      </c>
      <c r="I3" s="56">
        <f>SUM(G3+H3)</f>
        <v>16764.383561643837</v>
      </c>
      <c r="J3" s="56"/>
      <c r="K3" s="177"/>
      <c r="L3" s="55" t="s">
        <v>15</v>
      </c>
      <c r="M3" s="70">
        <f t="shared" ref="M3:M37" si="0">(C3-E3)</f>
        <v>20000</v>
      </c>
      <c r="N3" s="69">
        <v>89</v>
      </c>
      <c r="O3" s="1">
        <f>(M3-10000)</f>
        <v>10000</v>
      </c>
      <c r="P3" s="77">
        <f>(M3*10%/365*N3)</f>
        <v>487.67123287671228</v>
      </c>
      <c r="Q3" s="77">
        <f>(O3+P3)</f>
        <v>10487.671232876712</v>
      </c>
      <c r="R3" s="1">
        <v>6000</v>
      </c>
      <c r="S3" s="77">
        <f>(Q3+R3)</f>
        <v>16487.67123287671</v>
      </c>
    </row>
    <row r="4" spans="1:20" x14ac:dyDescent="0.3">
      <c r="A4" s="71">
        <v>2</v>
      </c>
      <c r="B4" s="18" t="s">
        <v>26</v>
      </c>
      <c r="C4" s="71">
        <v>30000</v>
      </c>
      <c r="D4" s="71">
        <v>93</v>
      </c>
      <c r="E4" s="71">
        <v>10000</v>
      </c>
      <c r="F4" s="38">
        <f t="shared" ref="F4:F24" si="1">(C4*10%/365*D4)</f>
        <v>764.38356164383572</v>
      </c>
      <c r="G4" s="45">
        <f t="shared" ref="G4:G24" si="2">SUM(E4+F4)</f>
        <v>10764.383561643835</v>
      </c>
      <c r="H4" s="40">
        <v>6000</v>
      </c>
      <c r="I4" s="38">
        <f t="shared" ref="I4:I24" si="3">SUM(G4+H4)</f>
        <v>16764.383561643837</v>
      </c>
      <c r="J4" s="38"/>
      <c r="K4" s="177"/>
      <c r="L4" s="18" t="s">
        <v>26</v>
      </c>
      <c r="M4" s="70">
        <f t="shared" si="0"/>
        <v>20000</v>
      </c>
      <c r="N4" s="71">
        <v>89</v>
      </c>
      <c r="O4" s="1">
        <f>(M4-10000)</f>
        <v>10000</v>
      </c>
      <c r="P4" s="77">
        <f>(M4*10%/365*N4)</f>
        <v>487.67123287671228</v>
      </c>
      <c r="Q4" s="77">
        <f>(O4+P4)</f>
        <v>10487.671232876712</v>
      </c>
      <c r="R4" s="1">
        <v>6000</v>
      </c>
      <c r="S4" s="77">
        <f>(Q4+R4)</f>
        <v>16487.67123287671</v>
      </c>
      <c r="T4" s="1"/>
    </row>
    <row r="5" spans="1:20" x14ac:dyDescent="0.3">
      <c r="A5" s="71">
        <v>3</v>
      </c>
      <c r="B5" s="18" t="s">
        <v>46</v>
      </c>
      <c r="C5" s="71">
        <v>50000</v>
      </c>
      <c r="D5" s="71">
        <v>78</v>
      </c>
      <c r="E5" s="71">
        <v>10000</v>
      </c>
      <c r="F5" s="38">
        <f t="shared" si="1"/>
        <v>1068.4931506849314</v>
      </c>
      <c r="G5" s="45">
        <f t="shared" si="2"/>
        <v>11068.493150684932</v>
      </c>
      <c r="H5" s="40">
        <v>6000</v>
      </c>
      <c r="I5" s="38">
        <f t="shared" si="3"/>
        <v>17068.493150684932</v>
      </c>
      <c r="J5" s="38"/>
      <c r="K5" s="32"/>
      <c r="L5" s="18" t="s">
        <v>46</v>
      </c>
      <c r="M5" s="70">
        <f>(C5-E5)</f>
        <v>40000</v>
      </c>
      <c r="N5" s="71">
        <v>89</v>
      </c>
      <c r="O5" s="1">
        <f>(M5-10000)</f>
        <v>30000</v>
      </c>
      <c r="P5" s="77">
        <f>(M5*10%/365*N5)</f>
        <v>975.34246575342456</v>
      </c>
      <c r="Q5" s="77">
        <f t="shared" ref="Q5:Q24" si="4">(O5+P5)</f>
        <v>30975.342465753423</v>
      </c>
      <c r="R5" s="1">
        <v>6000</v>
      </c>
      <c r="S5" s="77">
        <f t="shared" ref="S5:S24" si="5">(Q5+R5)</f>
        <v>36975.34246575342</v>
      </c>
      <c r="T5" s="1"/>
    </row>
    <row r="6" spans="1:20" x14ac:dyDescent="0.3">
      <c r="A6" s="70">
        <v>4</v>
      </c>
      <c r="B6" s="18" t="s">
        <v>43</v>
      </c>
      <c r="C6" s="71">
        <v>50000</v>
      </c>
      <c r="D6" s="12">
        <v>222</v>
      </c>
      <c r="E6" s="71">
        <v>10000</v>
      </c>
      <c r="F6" s="38">
        <f t="shared" si="1"/>
        <v>3041.0958904109589</v>
      </c>
      <c r="G6" s="45">
        <f t="shared" si="2"/>
        <v>13041.095890410959</v>
      </c>
      <c r="H6" s="40">
        <v>6000</v>
      </c>
      <c r="I6" s="38">
        <f t="shared" si="3"/>
        <v>19041.095890410958</v>
      </c>
      <c r="J6" s="38"/>
      <c r="K6" s="32"/>
      <c r="L6" s="18" t="s">
        <v>43</v>
      </c>
      <c r="M6" s="70">
        <f t="shared" si="0"/>
        <v>40000</v>
      </c>
      <c r="N6" s="71">
        <v>89</v>
      </c>
      <c r="O6" s="1">
        <f t="shared" ref="O6:O24" si="6">(M6-10000)</f>
        <v>30000</v>
      </c>
      <c r="P6" s="77">
        <f t="shared" ref="P6:P24" si="7">(M6*10%/365*N6)</f>
        <v>975.34246575342456</v>
      </c>
      <c r="Q6" s="77">
        <f t="shared" si="4"/>
        <v>30975.342465753423</v>
      </c>
      <c r="R6" s="1">
        <v>6000</v>
      </c>
      <c r="S6" s="77">
        <f t="shared" si="5"/>
        <v>36975.34246575342</v>
      </c>
      <c r="T6" s="1"/>
    </row>
    <row r="7" spans="1:20" x14ac:dyDescent="0.3">
      <c r="A7" s="71">
        <v>5</v>
      </c>
      <c r="B7" s="18" t="s">
        <v>14</v>
      </c>
      <c r="C7" s="71">
        <v>50000</v>
      </c>
      <c r="D7" s="71">
        <v>27</v>
      </c>
      <c r="E7" s="71">
        <v>10000</v>
      </c>
      <c r="F7" s="38">
        <f t="shared" si="1"/>
        <v>369.86301369863014</v>
      </c>
      <c r="G7" s="45">
        <f t="shared" si="2"/>
        <v>10369.86301369863</v>
      </c>
      <c r="H7" s="40">
        <v>6000</v>
      </c>
      <c r="I7" s="38">
        <f t="shared" si="3"/>
        <v>16369.86301369863</v>
      </c>
      <c r="J7" s="38"/>
      <c r="K7" s="32"/>
      <c r="L7" s="18" t="s">
        <v>14</v>
      </c>
      <c r="M7" s="70">
        <f t="shared" si="0"/>
        <v>40000</v>
      </c>
      <c r="N7" s="71">
        <v>89</v>
      </c>
      <c r="O7" s="1">
        <f t="shared" si="6"/>
        <v>30000</v>
      </c>
      <c r="P7" s="77">
        <f t="shared" si="7"/>
        <v>975.34246575342456</v>
      </c>
      <c r="Q7" s="77">
        <f t="shared" si="4"/>
        <v>30975.342465753423</v>
      </c>
      <c r="R7" s="1">
        <v>6000</v>
      </c>
      <c r="S7" s="77">
        <f t="shared" si="5"/>
        <v>36975.34246575342</v>
      </c>
      <c r="T7" s="1"/>
    </row>
    <row r="8" spans="1:20" x14ac:dyDescent="0.3">
      <c r="A8" s="71">
        <v>6</v>
      </c>
      <c r="B8" s="18" t="s">
        <v>45</v>
      </c>
      <c r="C8" s="71">
        <v>20000</v>
      </c>
      <c r="D8" s="71">
        <v>93</v>
      </c>
      <c r="E8" s="71">
        <v>4000</v>
      </c>
      <c r="F8" s="38">
        <f t="shared" si="1"/>
        <v>509.58904109589037</v>
      </c>
      <c r="G8" s="45">
        <f t="shared" si="2"/>
        <v>4509.58904109589</v>
      </c>
      <c r="H8" s="40">
        <v>6000</v>
      </c>
      <c r="I8" s="38">
        <f t="shared" si="3"/>
        <v>10509.589041095889</v>
      </c>
      <c r="J8" s="38"/>
      <c r="K8" s="32"/>
      <c r="L8" s="18" t="s">
        <v>45</v>
      </c>
      <c r="M8" s="70">
        <f t="shared" si="0"/>
        <v>16000</v>
      </c>
      <c r="N8" s="71">
        <v>89</v>
      </c>
      <c r="O8" s="1">
        <f t="shared" si="6"/>
        <v>6000</v>
      </c>
      <c r="P8" s="77">
        <f t="shared" si="7"/>
        <v>390.13698630136986</v>
      </c>
      <c r="Q8" s="77">
        <f t="shared" si="4"/>
        <v>6390.1369863013697</v>
      </c>
      <c r="R8" s="1">
        <v>6000</v>
      </c>
      <c r="S8" s="77">
        <f t="shared" si="5"/>
        <v>12390.13698630137</v>
      </c>
      <c r="T8" s="1"/>
    </row>
    <row r="9" spans="1:20" x14ac:dyDescent="0.3">
      <c r="A9" s="70">
        <v>7</v>
      </c>
      <c r="B9" s="18" t="s">
        <v>7</v>
      </c>
      <c r="C9" s="71">
        <v>30000</v>
      </c>
      <c r="D9" s="71">
        <v>93</v>
      </c>
      <c r="E9" s="71">
        <v>10000</v>
      </c>
      <c r="F9" s="38">
        <f t="shared" si="1"/>
        <v>764.38356164383572</v>
      </c>
      <c r="G9" s="45">
        <f t="shared" si="2"/>
        <v>10764.383561643835</v>
      </c>
      <c r="H9" s="40">
        <v>6000</v>
      </c>
      <c r="I9" s="38">
        <f t="shared" si="3"/>
        <v>16764.383561643837</v>
      </c>
      <c r="J9" s="38"/>
      <c r="K9" s="32"/>
      <c r="L9" s="18" t="s">
        <v>7</v>
      </c>
      <c r="M9" s="70">
        <f t="shared" si="0"/>
        <v>20000</v>
      </c>
      <c r="N9" s="71">
        <v>89</v>
      </c>
      <c r="O9" s="1">
        <f t="shared" si="6"/>
        <v>10000</v>
      </c>
      <c r="P9" s="77">
        <f t="shared" si="7"/>
        <v>487.67123287671228</v>
      </c>
      <c r="Q9" s="77">
        <f t="shared" si="4"/>
        <v>10487.671232876712</v>
      </c>
      <c r="R9" s="1">
        <v>6000</v>
      </c>
      <c r="S9" s="77">
        <f t="shared" si="5"/>
        <v>16487.67123287671</v>
      </c>
      <c r="T9" s="1"/>
    </row>
    <row r="10" spans="1:20" x14ac:dyDescent="0.3">
      <c r="A10" s="71">
        <v>8</v>
      </c>
      <c r="B10" s="18" t="s">
        <v>10</v>
      </c>
      <c r="C10" s="71">
        <v>40000</v>
      </c>
      <c r="D10" s="71">
        <v>93</v>
      </c>
      <c r="E10" s="71">
        <v>10000</v>
      </c>
      <c r="F10" s="38">
        <f t="shared" si="1"/>
        <v>1019.1780821917807</v>
      </c>
      <c r="G10" s="45">
        <f t="shared" si="2"/>
        <v>11019.17808219178</v>
      </c>
      <c r="H10" s="40">
        <v>6000</v>
      </c>
      <c r="I10" s="38">
        <f t="shared" si="3"/>
        <v>17019.178082191778</v>
      </c>
      <c r="J10" s="38"/>
      <c r="K10" s="32"/>
      <c r="L10" s="18" t="s">
        <v>10</v>
      </c>
      <c r="M10" s="70">
        <f t="shared" si="0"/>
        <v>30000</v>
      </c>
      <c r="N10" s="71">
        <v>89</v>
      </c>
      <c r="O10" s="1">
        <f t="shared" si="6"/>
        <v>20000</v>
      </c>
      <c r="P10" s="77">
        <f t="shared" si="7"/>
        <v>731.50684931506862</v>
      </c>
      <c r="Q10" s="77">
        <f t="shared" si="4"/>
        <v>20731.506849315068</v>
      </c>
      <c r="R10" s="1">
        <v>6000</v>
      </c>
      <c r="S10" s="77">
        <f t="shared" si="5"/>
        <v>26731.506849315068</v>
      </c>
      <c r="T10" s="1"/>
    </row>
    <row r="11" spans="1:20" x14ac:dyDescent="0.3">
      <c r="A11" s="71">
        <v>9</v>
      </c>
      <c r="B11" s="18" t="s">
        <v>53</v>
      </c>
      <c r="C11" s="71">
        <v>100000</v>
      </c>
      <c r="D11" s="71">
        <v>67</v>
      </c>
      <c r="E11" s="71">
        <v>10000</v>
      </c>
      <c r="F11" s="38">
        <f t="shared" si="1"/>
        <v>1835.6164383561643</v>
      </c>
      <c r="G11" s="45">
        <f t="shared" si="2"/>
        <v>11835.616438356165</v>
      </c>
      <c r="H11" s="40">
        <v>6000</v>
      </c>
      <c r="I11" s="38">
        <f t="shared" si="3"/>
        <v>17835.616438356163</v>
      </c>
      <c r="J11" s="38"/>
      <c r="K11" s="32"/>
      <c r="L11" s="18" t="s">
        <v>53</v>
      </c>
      <c r="M11" s="70">
        <f t="shared" si="0"/>
        <v>90000</v>
      </c>
      <c r="N11" s="71">
        <v>89</v>
      </c>
      <c r="O11" s="1">
        <f t="shared" si="6"/>
        <v>80000</v>
      </c>
      <c r="P11" s="77">
        <f t="shared" si="7"/>
        <v>2194.5205479452052</v>
      </c>
      <c r="Q11" s="77">
        <f t="shared" si="4"/>
        <v>82194.520547945198</v>
      </c>
      <c r="R11" s="1">
        <v>6000</v>
      </c>
      <c r="S11" s="77">
        <f t="shared" si="5"/>
        <v>88194.520547945198</v>
      </c>
      <c r="T11" s="1"/>
    </row>
    <row r="12" spans="1:20" x14ac:dyDescent="0.3">
      <c r="A12" s="70">
        <v>10</v>
      </c>
      <c r="B12" s="18" t="s">
        <v>50</v>
      </c>
      <c r="C12" s="71">
        <v>50000</v>
      </c>
      <c r="D12" s="71">
        <v>106</v>
      </c>
      <c r="E12" s="71">
        <v>10000</v>
      </c>
      <c r="F12" s="38">
        <f t="shared" si="1"/>
        <v>1452.0547945205478</v>
      </c>
      <c r="G12" s="45">
        <f t="shared" si="2"/>
        <v>11452.054794520547</v>
      </c>
      <c r="H12" s="40">
        <v>6000</v>
      </c>
      <c r="I12" s="38">
        <f t="shared" si="3"/>
        <v>17452.054794520547</v>
      </c>
      <c r="J12" s="38"/>
      <c r="K12" s="32"/>
      <c r="L12" s="18" t="s">
        <v>50</v>
      </c>
      <c r="M12" s="70">
        <f t="shared" si="0"/>
        <v>40000</v>
      </c>
      <c r="N12" s="71">
        <v>89</v>
      </c>
      <c r="O12" s="1">
        <f t="shared" si="6"/>
        <v>30000</v>
      </c>
      <c r="P12" s="77">
        <f t="shared" si="7"/>
        <v>975.34246575342456</v>
      </c>
      <c r="Q12" s="77">
        <f t="shared" si="4"/>
        <v>30975.342465753423</v>
      </c>
      <c r="R12" s="1">
        <v>6000</v>
      </c>
      <c r="S12" s="77">
        <f t="shared" si="5"/>
        <v>36975.34246575342</v>
      </c>
      <c r="T12" s="1"/>
    </row>
    <row r="13" spans="1:20" x14ac:dyDescent="0.3">
      <c r="A13" s="71">
        <v>11</v>
      </c>
      <c r="B13" s="18" t="s">
        <v>86</v>
      </c>
      <c r="C13" s="71">
        <v>50000</v>
      </c>
      <c r="D13" s="71">
        <v>32</v>
      </c>
      <c r="E13" s="71">
        <v>0</v>
      </c>
      <c r="F13" s="38">
        <f t="shared" si="1"/>
        <v>438.35616438356163</v>
      </c>
      <c r="G13" s="45">
        <f t="shared" si="2"/>
        <v>438.35616438356163</v>
      </c>
      <c r="H13" s="40">
        <v>6000</v>
      </c>
      <c r="I13" s="38">
        <f t="shared" si="3"/>
        <v>6438.3561643835619</v>
      </c>
      <c r="J13" s="38"/>
      <c r="K13" s="32"/>
      <c r="L13" s="18" t="s">
        <v>86</v>
      </c>
      <c r="M13" s="70">
        <f t="shared" si="0"/>
        <v>50000</v>
      </c>
      <c r="N13" s="71">
        <v>89</v>
      </c>
      <c r="O13" s="1">
        <f t="shared" si="6"/>
        <v>40000</v>
      </c>
      <c r="P13" s="77">
        <f t="shared" si="7"/>
        <v>1219.1780821917807</v>
      </c>
      <c r="Q13" s="77">
        <f t="shared" si="4"/>
        <v>41219.178082191778</v>
      </c>
      <c r="R13" s="1">
        <v>6000</v>
      </c>
      <c r="S13" s="77">
        <f t="shared" si="5"/>
        <v>47219.178082191778</v>
      </c>
      <c r="T13" s="1"/>
    </row>
    <row r="14" spans="1:20" x14ac:dyDescent="0.3">
      <c r="A14" s="71">
        <v>12</v>
      </c>
      <c r="B14" s="18" t="s">
        <v>30</v>
      </c>
      <c r="C14" s="71">
        <v>40000</v>
      </c>
      <c r="D14" s="71">
        <v>93</v>
      </c>
      <c r="E14" s="71">
        <v>10000</v>
      </c>
      <c r="F14" s="38">
        <f t="shared" si="1"/>
        <v>1019.1780821917807</v>
      </c>
      <c r="G14" s="45">
        <f t="shared" si="2"/>
        <v>11019.17808219178</v>
      </c>
      <c r="H14" s="40">
        <v>6000</v>
      </c>
      <c r="I14" s="38">
        <f t="shared" si="3"/>
        <v>17019.178082191778</v>
      </c>
      <c r="J14" s="38"/>
      <c r="K14" s="32"/>
      <c r="L14" s="18" t="s">
        <v>30</v>
      </c>
      <c r="M14" s="70">
        <f t="shared" si="0"/>
        <v>30000</v>
      </c>
      <c r="N14" s="71">
        <v>89</v>
      </c>
      <c r="O14" s="1">
        <f t="shared" si="6"/>
        <v>20000</v>
      </c>
      <c r="P14" s="77">
        <f t="shared" si="7"/>
        <v>731.50684931506862</v>
      </c>
      <c r="Q14" s="77">
        <f t="shared" si="4"/>
        <v>20731.506849315068</v>
      </c>
      <c r="R14" s="1">
        <v>6000</v>
      </c>
      <c r="S14" s="77">
        <f t="shared" si="5"/>
        <v>26731.506849315068</v>
      </c>
      <c r="T14" s="1"/>
    </row>
    <row r="15" spans="1:20" x14ac:dyDescent="0.3">
      <c r="A15" s="70">
        <v>13</v>
      </c>
      <c r="B15" s="18" t="s">
        <v>20</v>
      </c>
      <c r="C15" s="71">
        <v>50000</v>
      </c>
      <c r="D15" s="71">
        <v>106</v>
      </c>
      <c r="E15" s="71">
        <v>10000</v>
      </c>
      <c r="F15" s="38">
        <f t="shared" si="1"/>
        <v>1452.0547945205478</v>
      </c>
      <c r="G15" s="45">
        <f t="shared" si="2"/>
        <v>11452.054794520547</v>
      </c>
      <c r="H15" s="40">
        <v>6000</v>
      </c>
      <c r="I15" s="38">
        <f t="shared" si="3"/>
        <v>17452.054794520547</v>
      </c>
      <c r="J15" s="38"/>
      <c r="K15" s="32"/>
      <c r="L15" s="18" t="s">
        <v>20</v>
      </c>
      <c r="M15" s="70">
        <f t="shared" si="0"/>
        <v>40000</v>
      </c>
      <c r="N15" s="71">
        <v>89</v>
      </c>
      <c r="O15" s="1">
        <f t="shared" si="6"/>
        <v>30000</v>
      </c>
      <c r="P15" s="77">
        <f t="shared" si="7"/>
        <v>975.34246575342456</v>
      </c>
      <c r="Q15" s="77">
        <f t="shared" si="4"/>
        <v>30975.342465753423</v>
      </c>
      <c r="R15" s="1">
        <v>6000</v>
      </c>
      <c r="S15" s="77">
        <f t="shared" si="5"/>
        <v>36975.34246575342</v>
      </c>
      <c r="T15" s="1"/>
    </row>
    <row r="16" spans="1:20" x14ac:dyDescent="0.3">
      <c r="A16" s="71">
        <v>14</v>
      </c>
      <c r="B16" s="39" t="s">
        <v>47</v>
      </c>
      <c r="C16" s="71">
        <v>50000</v>
      </c>
      <c r="D16" s="12">
        <v>203</v>
      </c>
      <c r="E16" s="71">
        <v>10000</v>
      </c>
      <c r="F16" s="38">
        <f t="shared" si="1"/>
        <v>2780.821917808219</v>
      </c>
      <c r="G16" s="45">
        <f t="shared" si="2"/>
        <v>12780.821917808218</v>
      </c>
      <c r="H16" s="40">
        <v>6000</v>
      </c>
      <c r="I16" s="38">
        <f t="shared" si="3"/>
        <v>18780.821917808218</v>
      </c>
      <c r="J16" s="38"/>
      <c r="K16" s="32"/>
      <c r="L16" s="39" t="s">
        <v>47</v>
      </c>
      <c r="M16" s="70">
        <f t="shared" si="0"/>
        <v>40000</v>
      </c>
      <c r="N16" s="71">
        <v>89</v>
      </c>
      <c r="O16" s="1">
        <f t="shared" si="6"/>
        <v>30000</v>
      </c>
      <c r="P16" s="77">
        <f t="shared" si="7"/>
        <v>975.34246575342456</v>
      </c>
      <c r="Q16" s="77">
        <f t="shared" si="4"/>
        <v>30975.342465753423</v>
      </c>
      <c r="R16" s="1">
        <v>6000</v>
      </c>
      <c r="S16" s="77">
        <f t="shared" si="5"/>
        <v>36975.34246575342</v>
      </c>
      <c r="T16" s="1"/>
    </row>
    <row r="17" spans="1:20" x14ac:dyDescent="0.3">
      <c r="A17" s="71">
        <v>15</v>
      </c>
      <c r="B17" s="39" t="s">
        <v>9</v>
      </c>
      <c r="C17" s="71">
        <v>30000</v>
      </c>
      <c r="D17" s="71">
        <v>93</v>
      </c>
      <c r="E17" s="71">
        <v>10000</v>
      </c>
      <c r="F17" s="38">
        <f t="shared" si="1"/>
        <v>764.38356164383572</v>
      </c>
      <c r="G17" s="45">
        <f t="shared" si="2"/>
        <v>10764.383561643835</v>
      </c>
      <c r="H17" s="40">
        <v>6000</v>
      </c>
      <c r="I17" s="38">
        <f t="shared" si="3"/>
        <v>16764.383561643837</v>
      </c>
      <c r="J17" s="38"/>
      <c r="K17" s="32"/>
      <c r="L17" s="39" t="s">
        <v>9</v>
      </c>
      <c r="M17" s="70">
        <f t="shared" si="0"/>
        <v>20000</v>
      </c>
      <c r="N17" s="71">
        <v>89</v>
      </c>
      <c r="O17" s="1">
        <f t="shared" si="6"/>
        <v>10000</v>
      </c>
      <c r="P17" s="77">
        <f t="shared" si="7"/>
        <v>487.67123287671228</v>
      </c>
      <c r="Q17" s="77">
        <f t="shared" si="4"/>
        <v>10487.671232876712</v>
      </c>
      <c r="R17" s="1">
        <v>6000</v>
      </c>
      <c r="S17" s="77">
        <f t="shared" si="5"/>
        <v>16487.67123287671</v>
      </c>
      <c r="T17" s="1"/>
    </row>
    <row r="18" spans="1:20" x14ac:dyDescent="0.3">
      <c r="A18" s="70">
        <v>16</v>
      </c>
      <c r="B18" s="18" t="s">
        <v>48</v>
      </c>
      <c r="C18" s="71">
        <v>40000</v>
      </c>
      <c r="D18" s="71">
        <v>93</v>
      </c>
      <c r="E18" s="71">
        <v>10000</v>
      </c>
      <c r="F18" s="38">
        <f t="shared" si="1"/>
        <v>1019.1780821917807</v>
      </c>
      <c r="G18" s="45">
        <f t="shared" si="2"/>
        <v>11019.17808219178</v>
      </c>
      <c r="H18" s="40">
        <v>6000</v>
      </c>
      <c r="I18" s="38">
        <f t="shared" si="3"/>
        <v>17019.178082191778</v>
      </c>
      <c r="J18" s="38"/>
      <c r="K18" s="32"/>
      <c r="L18" s="18" t="s">
        <v>48</v>
      </c>
      <c r="M18" s="70">
        <f t="shared" si="0"/>
        <v>30000</v>
      </c>
      <c r="N18" s="71">
        <v>89</v>
      </c>
      <c r="O18" s="1">
        <f t="shared" si="6"/>
        <v>20000</v>
      </c>
      <c r="P18" s="77">
        <f t="shared" si="7"/>
        <v>731.50684931506862</v>
      </c>
      <c r="Q18" s="77">
        <f t="shared" si="4"/>
        <v>20731.506849315068</v>
      </c>
      <c r="R18" s="1">
        <v>6000</v>
      </c>
      <c r="S18" s="77">
        <f t="shared" si="5"/>
        <v>26731.506849315068</v>
      </c>
      <c r="T18" s="1"/>
    </row>
    <row r="19" spans="1:20" x14ac:dyDescent="0.3">
      <c r="A19" s="71">
        <v>17</v>
      </c>
      <c r="B19" s="18" t="s">
        <v>82</v>
      </c>
      <c r="C19" s="71">
        <v>40000</v>
      </c>
      <c r="D19" s="71">
        <v>90</v>
      </c>
      <c r="E19" s="71">
        <v>0</v>
      </c>
      <c r="F19" s="38">
        <f t="shared" si="1"/>
        <v>986.30136986301363</v>
      </c>
      <c r="G19" s="45">
        <f t="shared" si="2"/>
        <v>986.30136986301363</v>
      </c>
      <c r="H19" s="40">
        <v>6000</v>
      </c>
      <c r="I19" s="38">
        <f t="shared" si="3"/>
        <v>6986.3013698630139</v>
      </c>
      <c r="J19" s="38"/>
      <c r="K19" s="32"/>
      <c r="L19" s="18" t="s">
        <v>82</v>
      </c>
      <c r="M19" s="70">
        <f t="shared" si="0"/>
        <v>40000</v>
      </c>
      <c r="N19" s="71">
        <v>89</v>
      </c>
      <c r="O19" s="1">
        <f t="shared" si="6"/>
        <v>30000</v>
      </c>
      <c r="P19" s="77">
        <f t="shared" si="7"/>
        <v>975.34246575342456</v>
      </c>
      <c r="Q19" s="77">
        <f t="shared" si="4"/>
        <v>30975.342465753423</v>
      </c>
      <c r="R19" s="1">
        <v>6000</v>
      </c>
      <c r="S19" s="77">
        <f t="shared" si="5"/>
        <v>36975.34246575342</v>
      </c>
      <c r="T19" s="1"/>
    </row>
    <row r="20" spans="1:20" x14ac:dyDescent="0.3">
      <c r="A20" s="71">
        <v>18</v>
      </c>
      <c r="B20" s="18" t="s">
        <v>16</v>
      </c>
      <c r="C20" s="46">
        <v>40000</v>
      </c>
      <c r="D20" s="71">
        <v>93</v>
      </c>
      <c r="E20" s="71">
        <v>10000</v>
      </c>
      <c r="F20" s="38">
        <f t="shared" si="1"/>
        <v>1019.1780821917807</v>
      </c>
      <c r="G20" s="45">
        <f t="shared" si="2"/>
        <v>11019.17808219178</v>
      </c>
      <c r="H20" s="40">
        <v>6000</v>
      </c>
      <c r="I20" s="38">
        <f t="shared" si="3"/>
        <v>17019.178082191778</v>
      </c>
      <c r="J20" s="38"/>
      <c r="K20" s="32"/>
      <c r="L20" s="18" t="s">
        <v>16</v>
      </c>
      <c r="M20" s="70">
        <f t="shared" si="0"/>
        <v>30000</v>
      </c>
      <c r="N20" s="71">
        <v>89</v>
      </c>
      <c r="O20" s="1">
        <f t="shared" si="6"/>
        <v>20000</v>
      </c>
      <c r="P20" s="77">
        <f t="shared" si="7"/>
        <v>731.50684931506862</v>
      </c>
      <c r="Q20" s="77">
        <f t="shared" si="4"/>
        <v>20731.506849315068</v>
      </c>
      <c r="R20" s="1">
        <v>6000</v>
      </c>
      <c r="S20" s="77">
        <f t="shared" si="5"/>
        <v>26731.506849315068</v>
      </c>
      <c r="T20" s="1"/>
    </row>
    <row r="21" spans="1:20" x14ac:dyDescent="0.3">
      <c r="A21" s="70">
        <v>19</v>
      </c>
      <c r="B21" s="18" t="s">
        <v>48</v>
      </c>
      <c r="C21" s="46">
        <v>100000</v>
      </c>
      <c r="D21" s="71">
        <v>62</v>
      </c>
      <c r="E21" s="71">
        <v>0</v>
      </c>
      <c r="F21" s="38">
        <f t="shared" si="1"/>
        <v>1698.6301369863013</v>
      </c>
      <c r="G21" s="45">
        <f t="shared" si="2"/>
        <v>1698.6301369863013</v>
      </c>
      <c r="H21" s="40">
        <v>0</v>
      </c>
      <c r="I21" s="38">
        <f t="shared" si="3"/>
        <v>1698.6301369863013</v>
      </c>
      <c r="J21" s="38"/>
      <c r="K21" s="32"/>
      <c r="L21" s="18" t="s">
        <v>48</v>
      </c>
      <c r="M21" s="70">
        <f t="shared" si="0"/>
        <v>100000</v>
      </c>
      <c r="N21" s="71">
        <v>89</v>
      </c>
      <c r="O21" s="1">
        <f t="shared" si="6"/>
        <v>90000</v>
      </c>
      <c r="P21" s="77">
        <f t="shared" si="7"/>
        <v>2438.3561643835615</v>
      </c>
      <c r="Q21" s="77">
        <f t="shared" si="4"/>
        <v>92438.356164383556</v>
      </c>
      <c r="R21" s="1">
        <v>6000</v>
      </c>
      <c r="S21" s="77">
        <f t="shared" si="5"/>
        <v>98438.356164383556</v>
      </c>
      <c r="T21" s="1"/>
    </row>
    <row r="22" spans="1:20" x14ac:dyDescent="0.3">
      <c r="A22" s="71">
        <v>20</v>
      </c>
      <c r="B22" s="18" t="s">
        <v>26</v>
      </c>
      <c r="C22" s="46">
        <v>30000</v>
      </c>
      <c r="D22" s="71">
        <v>57</v>
      </c>
      <c r="E22" s="71">
        <v>0</v>
      </c>
      <c r="F22" s="38">
        <f t="shared" si="1"/>
        <v>468.49315068493155</v>
      </c>
      <c r="G22" s="45">
        <f t="shared" si="2"/>
        <v>468.49315068493155</v>
      </c>
      <c r="H22" s="40">
        <v>0</v>
      </c>
      <c r="I22" s="38">
        <f t="shared" si="3"/>
        <v>468.49315068493155</v>
      </c>
      <c r="J22" s="38"/>
      <c r="K22" s="32"/>
      <c r="L22" s="18" t="s">
        <v>26</v>
      </c>
      <c r="M22" s="70">
        <f t="shared" si="0"/>
        <v>30000</v>
      </c>
      <c r="N22" s="71">
        <v>89</v>
      </c>
      <c r="O22" s="1">
        <f t="shared" si="6"/>
        <v>20000</v>
      </c>
      <c r="P22" s="77">
        <f t="shared" si="7"/>
        <v>731.50684931506862</v>
      </c>
      <c r="Q22" s="77">
        <f t="shared" si="4"/>
        <v>20731.506849315068</v>
      </c>
      <c r="R22" s="1">
        <v>6000</v>
      </c>
      <c r="S22" s="77">
        <f t="shared" si="5"/>
        <v>26731.506849315068</v>
      </c>
      <c r="T22" s="1"/>
    </row>
    <row r="23" spans="1:20" x14ac:dyDescent="0.3">
      <c r="A23" s="71">
        <v>21</v>
      </c>
      <c r="B23" s="18" t="s">
        <v>86</v>
      </c>
      <c r="C23" s="46">
        <v>50000</v>
      </c>
      <c r="D23" s="71">
        <v>100</v>
      </c>
      <c r="E23" s="71">
        <v>10000</v>
      </c>
      <c r="F23" s="38">
        <f t="shared" si="1"/>
        <v>1369.8630136986301</v>
      </c>
      <c r="G23" s="45">
        <f t="shared" si="2"/>
        <v>11369.86301369863</v>
      </c>
      <c r="H23" s="40">
        <v>0</v>
      </c>
      <c r="I23" s="38">
        <f t="shared" si="3"/>
        <v>11369.86301369863</v>
      </c>
      <c r="J23" s="38"/>
      <c r="K23" s="32"/>
      <c r="L23" s="18" t="s">
        <v>86</v>
      </c>
      <c r="M23" s="70">
        <f t="shared" si="0"/>
        <v>40000</v>
      </c>
      <c r="N23" s="71">
        <v>89</v>
      </c>
      <c r="O23" s="1">
        <f t="shared" si="6"/>
        <v>30000</v>
      </c>
      <c r="P23" s="77">
        <f t="shared" si="7"/>
        <v>975.34246575342456</v>
      </c>
      <c r="Q23" s="77">
        <f t="shared" si="4"/>
        <v>30975.342465753423</v>
      </c>
      <c r="R23" s="1">
        <v>6000</v>
      </c>
      <c r="S23" s="77">
        <f t="shared" si="5"/>
        <v>36975.34246575342</v>
      </c>
      <c r="T23" s="1"/>
    </row>
    <row r="24" spans="1:20" x14ac:dyDescent="0.3">
      <c r="A24" s="70">
        <v>22</v>
      </c>
      <c r="B24" s="37" t="s">
        <v>98</v>
      </c>
      <c r="C24" s="71">
        <v>30000</v>
      </c>
      <c r="D24" s="71">
        <v>93</v>
      </c>
      <c r="E24" s="71">
        <v>10000</v>
      </c>
      <c r="F24" s="38">
        <f t="shared" si="1"/>
        <v>764.38356164383572</v>
      </c>
      <c r="G24" s="45">
        <f t="shared" si="2"/>
        <v>10764.383561643835</v>
      </c>
      <c r="H24" s="40">
        <v>6000</v>
      </c>
      <c r="I24" s="38">
        <f t="shared" si="3"/>
        <v>16764.383561643837</v>
      </c>
      <c r="J24" s="38"/>
      <c r="K24" s="32"/>
      <c r="L24" s="37" t="s">
        <v>98</v>
      </c>
      <c r="M24" s="70">
        <f t="shared" si="0"/>
        <v>20000</v>
      </c>
      <c r="N24" s="71">
        <v>89</v>
      </c>
      <c r="O24" s="1">
        <f t="shared" si="6"/>
        <v>10000</v>
      </c>
      <c r="P24" s="77">
        <f t="shared" si="7"/>
        <v>487.67123287671228</v>
      </c>
      <c r="Q24" s="77">
        <f t="shared" si="4"/>
        <v>10487.671232876712</v>
      </c>
      <c r="R24" s="1">
        <v>6000</v>
      </c>
      <c r="S24" s="77">
        <f t="shared" si="5"/>
        <v>16487.67123287671</v>
      </c>
      <c r="T24" s="1"/>
    </row>
    <row r="25" spans="1:20" ht="15.6" x14ac:dyDescent="0.3">
      <c r="A25" s="71"/>
      <c r="B25" s="37"/>
      <c r="C25" s="71"/>
      <c r="D25" s="71"/>
      <c r="E25" s="71"/>
      <c r="F25" s="74">
        <f>SUM(F3:F24)</f>
        <v>25369.863013698628</v>
      </c>
      <c r="G25" s="71"/>
      <c r="H25" s="71"/>
      <c r="I25" s="71"/>
      <c r="J25" s="71"/>
      <c r="K25" s="71"/>
      <c r="L25" s="1" t="s">
        <v>101</v>
      </c>
      <c r="M25" s="79">
        <f t="shared" si="0"/>
        <v>0</v>
      </c>
      <c r="N25" s="71"/>
      <c r="O25" s="1"/>
      <c r="P25" s="1"/>
      <c r="Q25" s="1"/>
      <c r="R25" s="1"/>
      <c r="S25" s="1"/>
      <c r="T25" s="1"/>
    </row>
    <row r="26" spans="1:20" x14ac:dyDescent="0.3">
      <c r="L26" s="18" t="s">
        <v>45</v>
      </c>
      <c r="M26" s="79">
        <f t="shared" si="0"/>
        <v>0</v>
      </c>
      <c r="N26" s="80"/>
    </row>
    <row r="27" spans="1:20" x14ac:dyDescent="0.3">
      <c r="L27" s="18" t="s">
        <v>102</v>
      </c>
      <c r="M27" s="79">
        <f t="shared" si="0"/>
        <v>0</v>
      </c>
      <c r="N27" s="80"/>
    </row>
    <row r="28" spans="1:20" x14ac:dyDescent="0.3">
      <c r="L28" s="18" t="s">
        <v>7</v>
      </c>
      <c r="M28" s="79">
        <f t="shared" si="0"/>
        <v>0</v>
      </c>
      <c r="N28" s="80"/>
    </row>
    <row r="29" spans="1:20" x14ac:dyDescent="0.3">
      <c r="L29" s="18" t="s">
        <v>102</v>
      </c>
      <c r="M29" s="79">
        <f t="shared" si="0"/>
        <v>0</v>
      </c>
      <c r="N29" s="80"/>
    </row>
    <row r="30" spans="1:20" x14ac:dyDescent="0.3">
      <c r="L30" s="18" t="s">
        <v>45</v>
      </c>
      <c r="M30" s="79">
        <f t="shared" si="0"/>
        <v>0</v>
      </c>
      <c r="N30" s="80"/>
    </row>
    <row r="31" spans="1:20" x14ac:dyDescent="0.3">
      <c r="L31" s="18" t="s">
        <v>15</v>
      </c>
      <c r="M31" s="79">
        <f t="shared" si="0"/>
        <v>0</v>
      </c>
      <c r="N31" s="80"/>
    </row>
    <row r="32" spans="1:20" x14ac:dyDescent="0.3">
      <c r="L32" s="18" t="s">
        <v>103</v>
      </c>
      <c r="M32" s="79">
        <f t="shared" si="0"/>
        <v>0</v>
      </c>
      <c r="N32" s="80"/>
    </row>
    <row r="33" spans="12:14" x14ac:dyDescent="0.3">
      <c r="L33" s="18" t="s">
        <v>31</v>
      </c>
      <c r="M33" s="79">
        <f t="shared" si="0"/>
        <v>0</v>
      </c>
      <c r="N33" s="80"/>
    </row>
    <row r="34" spans="12:14" x14ac:dyDescent="0.3">
      <c r="L34" s="18" t="s">
        <v>104</v>
      </c>
      <c r="M34" s="79">
        <f t="shared" si="0"/>
        <v>0</v>
      </c>
      <c r="N34" s="80"/>
    </row>
    <row r="35" spans="12:14" x14ac:dyDescent="0.3">
      <c r="L35" s="18" t="s">
        <v>47</v>
      </c>
      <c r="M35" s="79">
        <f t="shared" si="0"/>
        <v>0</v>
      </c>
      <c r="N35" s="80"/>
    </row>
    <row r="36" spans="12:14" x14ac:dyDescent="0.3">
      <c r="L36" s="18" t="s">
        <v>43</v>
      </c>
      <c r="M36" s="79">
        <f t="shared" si="0"/>
        <v>0</v>
      </c>
      <c r="N36" s="80"/>
    </row>
    <row r="37" spans="12:14" x14ac:dyDescent="0.3">
      <c r="L37" s="18" t="s">
        <v>26</v>
      </c>
      <c r="M37" s="79">
        <f t="shared" si="0"/>
        <v>0</v>
      </c>
      <c r="N37" s="80"/>
    </row>
  </sheetData>
  <mergeCells count="4">
    <mergeCell ref="K3:K4"/>
    <mergeCell ref="A1:A2"/>
    <mergeCell ref="B1:B2"/>
    <mergeCell ref="C1:K1"/>
  </mergeCells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20"/>
  <sheetViews>
    <sheetView topLeftCell="A18" workbookViewId="0">
      <selection activeCell="E44" sqref="E44"/>
    </sheetView>
  </sheetViews>
  <sheetFormatPr defaultRowHeight="14.4" x14ac:dyDescent="0.3"/>
  <cols>
    <col min="1" max="1" width="5.109375" customWidth="1"/>
    <col min="2" max="2" width="16.44140625" customWidth="1"/>
    <col min="3" max="3" width="10.6640625" customWidth="1"/>
    <col min="4" max="4" width="7.77734375" customWidth="1"/>
    <col min="5" max="5" width="12.33203125" customWidth="1"/>
    <col min="7" max="7" width="12.44140625" customWidth="1"/>
    <col min="8" max="8" width="11.5546875" bestFit="1" customWidth="1"/>
    <col min="9" max="9" width="10.44140625" customWidth="1"/>
    <col min="10" max="10" width="11.6640625" customWidth="1"/>
    <col min="11" max="11" width="12.44140625" style="81" customWidth="1"/>
    <col min="13" max="13" width="9.88671875" customWidth="1"/>
    <col min="15" max="15" width="8.88671875" style="78"/>
    <col min="16" max="16" width="12.33203125" customWidth="1"/>
    <col min="17" max="17" width="9.5546875" customWidth="1"/>
    <col min="18" max="18" width="10.21875" customWidth="1"/>
  </cols>
  <sheetData>
    <row r="2" spans="1:13" ht="15.6" x14ac:dyDescent="0.3">
      <c r="A2" s="84"/>
      <c r="B2" s="181" t="s">
        <v>69</v>
      </c>
      <c r="C2" s="85"/>
      <c r="D2" s="85"/>
      <c r="E2" s="183" t="s">
        <v>113</v>
      </c>
      <c r="F2" s="183"/>
      <c r="G2" s="183"/>
      <c r="H2" s="183"/>
      <c r="I2" s="183"/>
      <c r="J2" s="183"/>
      <c r="K2" s="183"/>
      <c r="L2" s="183"/>
      <c r="M2" s="183"/>
    </row>
    <row r="3" spans="1:13" ht="62.4" x14ac:dyDescent="0.3">
      <c r="A3" s="84"/>
      <c r="B3" s="182"/>
      <c r="C3" s="86" t="s">
        <v>110</v>
      </c>
      <c r="D3" s="86" t="s">
        <v>111</v>
      </c>
      <c r="E3" s="85" t="s">
        <v>112</v>
      </c>
      <c r="F3" s="86" t="s">
        <v>81</v>
      </c>
      <c r="G3" s="86" t="s">
        <v>108</v>
      </c>
      <c r="H3" s="86" t="s">
        <v>78</v>
      </c>
      <c r="I3" s="87" t="s">
        <v>84</v>
      </c>
      <c r="J3" s="88" t="s">
        <v>109</v>
      </c>
      <c r="K3" s="89" t="s">
        <v>85</v>
      </c>
      <c r="L3" s="86"/>
      <c r="M3" s="90"/>
    </row>
    <row r="4" spans="1:13" ht="15.6" x14ac:dyDescent="0.3">
      <c r="A4" s="84">
        <v>1</v>
      </c>
      <c r="B4" s="91" t="s">
        <v>15</v>
      </c>
      <c r="C4" s="85"/>
      <c r="D4" s="85"/>
      <c r="E4" s="85">
        <v>20000</v>
      </c>
      <c r="F4" s="92">
        <v>89</v>
      </c>
      <c r="G4" s="86">
        <v>10000</v>
      </c>
      <c r="H4" s="89">
        <f>(E4*10%/365*F4)</f>
        <v>487.67123287671228</v>
      </c>
      <c r="I4" s="93">
        <f>G4+H4</f>
        <v>10487.671232876712</v>
      </c>
      <c r="J4" s="86">
        <f>E4-G4</f>
        <v>10000</v>
      </c>
      <c r="K4" s="89">
        <f>I4</f>
        <v>10487.671232876712</v>
      </c>
      <c r="L4" s="86" t="s">
        <v>116</v>
      </c>
      <c r="M4" s="94"/>
    </row>
    <row r="5" spans="1:13" ht="15.6" x14ac:dyDescent="0.3">
      <c r="A5" s="84">
        <v>2</v>
      </c>
      <c r="B5" s="95" t="s">
        <v>26</v>
      </c>
      <c r="C5" s="95"/>
      <c r="D5" s="95"/>
      <c r="E5" s="121">
        <v>20000</v>
      </c>
      <c r="F5" s="96">
        <v>89</v>
      </c>
      <c r="G5" s="86">
        <v>10000</v>
      </c>
      <c r="H5" s="89">
        <f t="shared" ref="H5:H37" si="0">(E5*10%/365*F5)</f>
        <v>487.67123287671228</v>
      </c>
      <c r="I5" s="93">
        <f t="shared" ref="I5:I37" si="1">G5+H5</f>
        <v>10487.671232876712</v>
      </c>
      <c r="J5" s="86">
        <f t="shared" ref="J5:J37" si="2">E5-G5</f>
        <v>10000</v>
      </c>
      <c r="K5" s="89">
        <f t="shared" ref="K5:K37" si="3">I5</f>
        <v>10487.671232876712</v>
      </c>
      <c r="L5" s="84"/>
      <c r="M5" s="84"/>
    </row>
    <row r="6" spans="1:13" ht="15.6" x14ac:dyDescent="0.3">
      <c r="A6" s="84">
        <v>3</v>
      </c>
      <c r="B6" s="95" t="s">
        <v>46</v>
      </c>
      <c r="C6" s="95"/>
      <c r="D6" s="95"/>
      <c r="E6" s="85">
        <v>40000</v>
      </c>
      <c r="F6" s="96">
        <v>89</v>
      </c>
      <c r="G6" s="86">
        <v>10000</v>
      </c>
      <c r="H6" s="89">
        <f t="shared" si="0"/>
        <v>975.34246575342456</v>
      </c>
      <c r="I6" s="93">
        <f t="shared" si="1"/>
        <v>10975.342465753425</v>
      </c>
      <c r="J6" s="86">
        <f t="shared" si="2"/>
        <v>30000</v>
      </c>
      <c r="K6" s="89">
        <f t="shared" si="3"/>
        <v>10975.342465753425</v>
      </c>
      <c r="L6" s="84"/>
      <c r="M6" s="84"/>
    </row>
    <row r="7" spans="1:13" ht="15.6" x14ac:dyDescent="0.3">
      <c r="A7" s="84">
        <v>4</v>
      </c>
      <c r="B7" s="95" t="s">
        <v>43</v>
      </c>
      <c r="C7" s="95"/>
      <c r="D7" s="95"/>
      <c r="E7" s="85">
        <v>40000</v>
      </c>
      <c r="F7" s="96">
        <v>89</v>
      </c>
      <c r="G7" s="86">
        <v>10000</v>
      </c>
      <c r="H7" s="89">
        <f t="shared" si="0"/>
        <v>975.34246575342456</v>
      </c>
      <c r="I7" s="93">
        <f t="shared" si="1"/>
        <v>10975.342465753425</v>
      </c>
      <c r="J7" s="86">
        <f t="shared" si="2"/>
        <v>30000</v>
      </c>
      <c r="K7" s="89">
        <f t="shared" si="3"/>
        <v>10975.342465753425</v>
      </c>
      <c r="L7" s="84"/>
      <c r="M7" s="84"/>
    </row>
    <row r="8" spans="1:13" ht="15.6" x14ac:dyDescent="0.3">
      <c r="A8" s="84">
        <v>5</v>
      </c>
      <c r="B8" s="95" t="s">
        <v>45</v>
      </c>
      <c r="C8" s="95"/>
      <c r="D8" s="95"/>
      <c r="E8" s="85">
        <v>16000</v>
      </c>
      <c r="F8" s="96">
        <v>89</v>
      </c>
      <c r="G8" s="86">
        <v>10000</v>
      </c>
      <c r="H8" s="89">
        <f t="shared" si="0"/>
        <v>390.13698630136986</v>
      </c>
      <c r="I8" s="93">
        <f t="shared" si="1"/>
        <v>10390.13698630137</v>
      </c>
      <c r="J8" s="86">
        <f t="shared" si="2"/>
        <v>6000</v>
      </c>
      <c r="K8" s="89">
        <f t="shared" si="3"/>
        <v>10390.13698630137</v>
      </c>
      <c r="L8" s="84"/>
      <c r="M8" s="84"/>
    </row>
    <row r="9" spans="1:13" ht="15.6" x14ac:dyDescent="0.3">
      <c r="A9" s="84">
        <v>6</v>
      </c>
      <c r="B9" s="95" t="s">
        <v>7</v>
      </c>
      <c r="C9" s="95"/>
      <c r="D9" s="95"/>
      <c r="E9" s="85">
        <v>20000</v>
      </c>
      <c r="F9" s="96">
        <v>89</v>
      </c>
      <c r="G9" s="86">
        <v>10000</v>
      </c>
      <c r="H9" s="89">
        <f t="shared" si="0"/>
        <v>487.67123287671228</v>
      </c>
      <c r="I9" s="93">
        <f t="shared" si="1"/>
        <v>10487.671232876712</v>
      </c>
      <c r="J9" s="86">
        <f t="shared" si="2"/>
        <v>10000</v>
      </c>
      <c r="K9" s="89">
        <f t="shared" si="3"/>
        <v>10487.671232876712</v>
      </c>
      <c r="L9" s="84" t="s">
        <v>116</v>
      </c>
      <c r="M9" s="97">
        <f>(K4+K9+K24+K28)</f>
        <v>54504.109589041094</v>
      </c>
    </row>
    <row r="10" spans="1:13" ht="15.6" x14ac:dyDescent="0.3">
      <c r="A10" s="84">
        <v>7</v>
      </c>
      <c r="B10" s="95" t="s">
        <v>10</v>
      </c>
      <c r="C10" s="95"/>
      <c r="D10" s="95"/>
      <c r="E10" s="85">
        <v>30000</v>
      </c>
      <c r="F10" s="96">
        <v>89</v>
      </c>
      <c r="G10" s="86">
        <v>10000</v>
      </c>
      <c r="H10" s="89">
        <f t="shared" si="0"/>
        <v>731.50684931506862</v>
      </c>
      <c r="I10" s="93">
        <f t="shared" si="1"/>
        <v>10731.506849315068</v>
      </c>
      <c r="J10" s="86">
        <f t="shared" si="2"/>
        <v>20000</v>
      </c>
      <c r="K10" s="89">
        <f t="shared" si="3"/>
        <v>10731.506849315068</v>
      </c>
      <c r="L10" s="84" t="s">
        <v>117</v>
      </c>
      <c r="M10" s="97">
        <f>(K10+K17+K20+K33)</f>
        <v>38583.561643835616</v>
      </c>
    </row>
    <row r="11" spans="1:13" ht="15.6" x14ac:dyDescent="0.3">
      <c r="A11" s="84">
        <v>8</v>
      </c>
      <c r="B11" s="95" t="s">
        <v>53</v>
      </c>
      <c r="C11" s="95"/>
      <c r="D11" s="95"/>
      <c r="E11" s="85">
        <v>90000</v>
      </c>
      <c r="F11" s="96">
        <v>89</v>
      </c>
      <c r="G11" s="86">
        <v>30000</v>
      </c>
      <c r="H11" s="89">
        <f t="shared" si="0"/>
        <v>2194.5205479452052</v>
      </c>
      <c r="I11" s="93">
        <f t="shared" si="1"/>
        <v>32194.520547945205</v>
      </c>
      <c r="J11" s="86">
        <f t="shared" si="2"/>
        <v>60000</v>
      </c>
      <c r="K11" s="89">
        <f t="shared" si="3"/>
        <v>32194.520547945205</v>
      </c>
      <c r="L11" s="84"/>
      <c r="M11" s="84"/>
    </row>
    <row r="12" spans="1:13" ht="15.6" x14ac:dyDescent="0.3">
      <c r="A12" s="84">
        <v>9</v>
      </c>
      <c r="B12" s="95" t="s">
        <v>50</v>
      </c>
      <c r="C12" s="95"/>
      <c r="D12" s="95"/>
      <c r="E12" s="85">
        <v>40000</v>
      </c>
      <c r="F12" s="96">
        <v>89</v>
      </c>
      <c r="G12" s="86">
        <v>10000</v>
      </c>
      <c r="H12" s="89">
        <f t="shared" si="0"/>
        <v>975.34246575342456</v>
      </c>
      <c r="I12" s="93">
        <f t="shared" si="1"/>
        <v>10975.342465753425</v>
      </c>
      <c r="J12" s="86">
        <f t="shared" si="2"/>
        <v>30000</v>
      </c>
      <c r="K12" s="89">
        <f t="shared" si="3"/>
        <v>10975.342465753425</v>
      </c>
      <c r="L12" s="84" t="s">
        <v>119</v>
      </c>
      <c r="M12" s="84"/>
    </row>
    <row r="13" spans="1:13" ht="15.6" x14ac:dyDescent="0.3">
      <c r="A13" s="84">
        <v>10</v>
      </c>
      <c r="B13" s="95" t="s">
        <v>86</v>
      </c>
      <c r="C13" s="95"/>
      <c r="D13" s="95"/>
      <c r="E13" s="85">
        <v>50000</v>
      </c>
      <c r="F13" s="96">
        <v>89</v>
      </c>
      <c r="G13" s="86">
        <v>10000</v>
      </c>
      <c r="H13" s="89">
        <f t="shared" si="0"/>
        <v>1219.1780821917807</v>
      </c>
      <c r="I13" s="93">
        <f t="shared" si="1"/>
        <v>11219.17808219178</v>
      </c>
      <c r="J13" s="86">
        <f t="shared" si="2"/>
        <v>40000</v>
      </c>
      <c r="K13" s="89">
        <f t="shared" si="3"/>
        <v>11219.17808219178</v>
      </c>
      <c r="L13" s="84"/>
      <c r="M13" s="97">
        <f>(K13+K23)</f>
        <v>12438.35616438356</v>
      </c>
    </row>
    <row r="14" spans="1:13" ht="15.6" x14ac:dyDescent="0.3">
      <c r="A14" s="84">
        <v>11</v>
      </c>
      <c r="B14" s="95" t="s">
        <v>30</v>
      </c>
      <c r="C14" s="95"/>
      <c r="D14" s="95"/>
      <c r="E14" s="85">
        <v>30000</v>
      </c>
      <c r="F14" s="96">
        <v>89</v>
      </c>
      <c r="G14" s="86">
        <v>10000</v>
      </c>
      <c r="H14" s="89">
        <f t="shared" si="0"/>
        <v>731.50684931506862</v>
      </c>
      <c r="I14" s="93">
        <f t="shared" si="1"/>
        <v>10731.506849315068</v>
      </c>
      <c r="J14" s="86">
        <f t="shared" si="2"/>
        <v>20000</v>
      </c>
      <c r="K14" s="89">
        <f t="shared" si="3"/>
        <v>10731.506849315068</v>
      </c>
      <c r="L14" s="84"/>
      <c r="M14" s="84"/>
    </row>
    <row r="15" spans="1:13" ht="15.6" x14ac:dyDescent="0.3">
      <c r="A15" s="84">
        <v>12</v>
      </c>
      <c r="B15" s="95" t="s">
        <v>20</v>
      </c>
      <c r="C15" s="95"/>
      <c r="D15" s="95"/>
      <c r="E15" s="85">
        <v>40000</v>
      </c>
      <c r="F15" s="96">
        <v>89</v>
      </c>
      <c r="G15" s="86">
        <v>10000</v>
      </c>
      <c r="H15" s="89">
        <f t="shared" si="0"/>
        <v>975.34246575342456</v>
      </c>
      <c r="I15" s="93">
        <f t="shared" si="1"/>
        <v>10975.342465753425</v>
      </c>
      <c r="J15" s="86">
        <f t="shared" si="2"/>
        <v>30000</v>
      </c>
      <c r="K15" s="89">
        <f t="shared" si="3"/>
        <v>10975.342465753425</v>
      </c>
      <c r="L15" s="84" t="s">
        <v>119</v>
      </c>
      <c r="M15" s="84"/>
    </row>
    <row r="16" spans="1:13" ht="15.6" x14ac:dyDescent="0.3">
      <c r="A16" s="84">
        <v>13</v>
      </c>
      <c r="B16" s="95" t="s">
        <v>47</v>
      </c>
      <c r="C16" s="95"/>
      <c r="D16" s="95"/>
      <c r="E16" s="85">
        <v>40000</v>
      </c>
      <c r="F16" s="96">
        <v>89</v>
      </c>
      <c r="G16" s="86">
        <v>10000</v>
      </c>
      <c r="H16" s="89">
        <f t="shared" si="0"/>
        <v>975.34246575342456</v>
      </c>
      <c r="I16" s="93">
        <f t="shared" si="1"/>
        <v>10975.342465753425</v>
      </c>
      <c r="J16" s="86">
        <f t="shared" si="2"/>
        <v>30000</v>
      </c>
      <c r="K16" s="89">
        <f t="shared" si="3"/>
        <v>10975.342465753425</v>
      </c>
      <c r="L16" s="84"/>
      <c r="M16" s="84"/>
    </row>
    <row r="17" spans="1:13" ht="15.6" x14ac:dyDescent="0.3">
      <c r="A17" s="84">
        <v>14</v>
      </c>
      <c r="B17" s="95" t="s">
        <v>9</v>
      </c>
      <c r="C17" s="95"/>
      <c r="D17" s="95"/>
      <c r="E17" s="85">
        <v>20000</v>
      </c>
      <c r="F17" s="96">
        <v>89</v>
      </c>
      <c r="G17" s="86">
        <v>10000</v>
      </c>
      <c r="H17" s="89">
        <f t="shared" si="0"/>
        <v>487.67123287671228</v>
      </c>
      <c r="I17" s="93">
        <f t="shared" si="1"/>
        <v>10487.671232876712</v>
      </c>
      <c r="J17" s="86">
        <f t="shared" si="2"/>
        <v>10000</v>
      </c>
      <c r="K17" s="89">
        <f t="shared" si="3"/>
        <v>10487.671232876712</v>
      </c>
      <c r="L17" s="84" t="s">
        <v>117</v>
      </c>
      <c r="M17" s="97">
        <f>(K17+K20+K10+K33+C16)</f>
        <v>38583.561643835616</v>
      </c>
    </row>
    <row r="18" spans="1:13" ht="15.6" x14ac:dyDescent="0.3">
      <c r="A18" s="84">
        <v>15</v>
      </c>
      <c r="B18" s="98" t="s">
        <v>48</v>
      </c>
      <c r="C18" s="98">
        <v>30000</v>
      </c>
      <c r="D18" s="98">
        <v>30000</v>
      </c>
      <c r="E18" s="99">
        <v>0</v>
      </c>
      <c r="F18" s="100">
        <v>89</v>
      </c>
      <c r="G18" s="101">
        <v>0</v>
      </c>
      <c r="H18" s="102">
        <f>(E18*10%/365*F18)+362</f>
        <v>362</v>
      </c>
      <c r="I18" s="102">
        <f t="shared" si="1"/>
        <v>362</v>
      </c>
      <c r="J18" s="101">
        <f t="shared" si="2"/>
        <v>0</v>
      </c>
      <c r="K18" s="89">
        <f t="shared" si="3"/>
        <v>362</v>
      </c>
      <c r="L18" s="84"/>
      <c r="M18" s="84" t="s">
        <v>121</v>
      </c>
    </row>
    <row r="19" spans="1:13" ht="15.6" x14ac:dyDescent="0.3">
      <c r="A19" s="84">
        <v>16</v>
      </c>
      <c r="B19" s="95" t="s">
        <v>82</v>
      </c>
      <c r="C19" s="95"/>
      <c r="D19" s="95"/>
      <c r="E19" s="103">
        <v>40000</v>
      </c>
      <c r="F19" s="96">
        <v>89</v>
      </c>
      <c r="G19" s="86">
        <v>10000</v>
      </c>
      <c r="H19" s="89">
        <f t="shared" si="0"/>
        <v>975.34246575342456</v>
      </c>
      <c r="I19" s="93">
        <f t="shared" si="1"/>
        <v>10975.342465753425</v>
      </c>
      <c r="J19" s="86">
        <f t="shared" si="2"/>
        <v>30000</v>
      </c>
      <c r="K19" s="89">
        <f t="shared" si="3"/>
        <v>10975.342465753425</v>
      </c>
      <c r="L19" s="84" t="s">
        <v>118</v>
      </c>
      <c r="M19" s="84"/>
    </row>
    <row r="20" spans="1:13" ht="15.6" x14ac:dyDescent="0.3">
      <c r="A20" s="84">
        <v>17</v>
      </c>
      <c r="B20" s="95" t="s">
        <v>16</v>
      </c>
      <c r="C20" s="95"/>
      <c r="D20" s="95"/>
      <c r="E20" s="103">
        <v>30000</v>
      </c>
      <c r="F20" s="96">
        <v>89</v>
      </c>
      <c r="G20" s="86">
        <v>10000</v>
      </c>
      <c r="H20" s="89">
        <f t="shared" si="0"/>
        <v>731.50684931506862</v>
      </c>
      <c r="I20" s="93">
        <f t="shared" si="1"/>
        <v>10731.506849315068</v>
      </c>
      <c r="J20" s="86">
        <f t="shared" si="2"/>
        <v>20000</v>
      </c>
      <c r="K20" s="89">
        <f t="shared" si="3"/>
        <v>10731.506849315068</v>
      </c>
      <c r="L20" s="84" t="s">
        <v>117</v>
      </c>
      <c r="M20" s="84"/>
    </row>
    <row r="21" spans="1:13" ht="15.6" x14ac:dyDescent="0.3">
      <c r="A21" s="84">
        <v>18</v>
      </c>
      <c r="B21" s="95" t="s">
        <v>48</v>
      </c>
      <c r="C21" s="95"/>
      <c r="D21" s="95"/>
      <c r="E21" s="103">
        <v>100000</v>
      </c>
      <c r="F21" s="96">
        <v>89</v>
      </c>
      <c r="G21" s="86">
        <v>20000</v>
      </c>
      <c r="H21" s="89">
        <f t="shared" si="0"/>
        <v>2438.3561643835615</v>
      </c>
      <c r="I21" s="93">
        <f t="shared" si="1"/>
        <v>22438.35616438356</v>
      </c>
      <c r="J21" s="86">
        <f t="shared" si="2"/>
        <v>80000</v>
      </c>
      <c r="K21" s="89">
        <f t="shared" si="3"/>
        <v>22438.35616438356</v>
      </c>
      <c r="L21" s="84" t="s">
        <v>120</v>
      </c>
      <c r="M21" s="97">
        <f>(K21)</f>
        <v>22438.35616438356</v>
      </c>
    </row>
    <row r="22" spans="1:13" ht="15.6" x14ac:dyDescent="0.3">
      <c r="A22" s="84">
        <v>19</v>
      </c>
      <c r="B22" s="95" t="s">
        <v>26</v>
      </c>
      <c r="C22" s="95"/>
      <c r="D22" s="95"/>
      <c r="E22" s="103">
        <v>30000</v>
      </c>
      <c r="F22" s="96">
        <v>89</v>
      </c>
      <c r="G22" s="86">
        <v>10000</v>
      </c>
      <c r="H22" s="89">
        <f t="shared" si="0"/>
        <v>731.50684931506862</v>
      </c>
      <c r="I22" s="93">
        <f t="shared" si="1"/>
        <v>10731.506849315068</v>
      </c>
      <c r="J22" s="86">
        <f t="shared" si="2"/>
        <v>20000</v>
      </c>
      <c r="K22" s="89">
        <f t="shared" si="3"/>
        <v>10731.506849315068</v>
      </c>
      <c r="L22" s="84" t="s">
        <v>118</v>
      </c>
      <c r="M22" s="97">
        <f>(K19+K22+K37+K5)</f>
        <v>37358.904109589042</v>
      </c>
    </row>
    <row r="23" spans="1:13" ht="15.6" x14ac:dyDescent="0.3">
      <c r="A23" s="84">
        <v>20</v>
      </c>
      <c r="B23" s="95" t="s">
        <v>86</v>
      </c>
      <c r="C23" s="95"/>
      <c r="D23" s="95"/>
      <c r="E23" s="103">
        <v>50000</v>
      </c>
      <c r="F23" s="96">
        <v>89</v>
      </c>
      <c r="G23" s="86">
        <v>0</v>
      </c>
      <c r="H23" s="89">
        <f t="shared" si="0"/>
        <v>1219.1780821917807</v>
      </c>
      <c r="I23" s="93">
        <f t="shared" si="1"/>
        <v>1219.1780821917807</v>
      </c>
      <c r="J23" s="86">
        <f t="shared" si="2"/>
        <v>50000</v>
      </c>
      <c r="K23" s="89">
        <f t="shared" si="3"/>
        <v>1219.1780821917807</v>
      </c>
      <c r="L23" s="84"/>
      <c r="M23" s="84"/>
    </row>
    <row r="24" spans="1:13" ht="15.6" x14ac:dyDescent="0.3">
      <c r="A24" s="84">
        <v>21</v>
      </c>
      <c r="B24" s="104" t="s">
        <v>98</v>
      </c>
      <c r="C24" s="104"/>
      <c r="D24" s="104"/>
      <c r="E24" s="103">
        <v>20000</v>
      </c>
      <c r="F24" s="96">
        <v>89</v>
      </c>
      <c r="G24" s="86">
        <v>10000</v>
      </c>
      <c r="H24" s="89">
        <f t="shared" si="0"/>
        <v>487.67123287671228</v>
      </c>
      <c r="I24" s="93">
        <f t="shared" si="1"/>
        <v>10487.671232876712</v>
      </c>
      <c r="J24" s="86">
        <f t="shared" si="2"/>
        <v>10000</v>
      </c>
      <c r="K24" s="89">
        <f t="shared" si="3"/>
        <v>10487.671232876712</v>
      </c>
      <c r="L24" s="84" t="s">
        <v>116</v>
      </c>
      <c r="M24" s="84"/>
    </row>
    <row r="25" spans="1:13" ht="15.6" x14ac:dyDescent="0.3">
      <c r="A25" s="84">
        <v>22</v>
      </c>
      <c r="B25" s="84" t="s">
        <v>101</v>
      </c>
      <c r="C25" s="84">
        <v>28835.77</v>
      </c>
      <c r="D25" s="84">
        <v>9627</v>
      </c>
      <c r="E25" s="96">
        <f>C25-D25</f>
        <v>19208.77</v>
      </c>
      <c r="F25" s="96">
        <v>111</v>
      </c>
      <c r="G25" s="86">
        <v>5000</v>
      </c>
      <c r="H25" s="89">
        <f t="shared" si="0"/>
        <v>584.15711506849323</v>
      </c>
      <c r="I25" s="93">
        <f t="shared" si="1"/>
        <v>5584.1571150684931</v>
      </c>
      <c r="J25" s="86">
        <f t="shared" si="2"/>
        <v>14208.77</v>
      </c>
      <c r="K25" s="89">
        <f t="shared" si="3"/>
        <v>5584.1571150684931</v>
      </c>
      <c r="L25" s="84"/>
      <c r="M25" s="84"/>
    </row>
    <row r="26" spans="1:13" ht="15.6" x14ac:dyDescent="0.3">
      <c r="A26" s="84">
        <v>23</v>
      </c>
      <c r="B26" s="95" t="s">
        <v>45</v>
      </c>
      <c r="C26" s="95"/>
      <c r="D26" s="95"/>
      <c r="E26" s="103">
        <v>10000</v>
      </c>
      <c r="F26" s="96">
        <v>118</v>
      </c>
      <c r="G26" s="86">
        <v>10000</v>
      </c>
      <c r="H26" s="89">
        <f t="shared" si="0"/>
        <v>323.28767123287668</v>
      </c>
      <c r="I26" s="93">
        <f t="shared" si="1"/>
        <v>10323.287671232876</v>
      </c>
      <c r="J26" s="86">
        <f t="shared" si="2"/>
        <v>0</v>
      </c>
      <c r="K26" s="89">
        <f t="shared" si="3"/>
        <v>10323.287671232876</v>
      </c>
      <c r="L26" s="84"/>
      <c r="M26" s="84"/>
    </row>
    <row r="27" spans="1:13" ht="15.6" x14ac:dyDescent="0.3">
      <c r="A27" s="84">
        <v>24</v>
      </c>
      <c r="B27" s="105" t="s">
        <v>102</v>
      </c>
      <c r="C27" s="105">
        <v>50000</v>
      </c>
      <c r="D27" s="105">
        <v>50000</v>
      </c>
      <c r="E27" s="106">
        <v>0</v>
      </c>
      <c r="F27" s="107">
        <v>4</v>
      </c>
      <c r="G27" s="108">
        <v>0</v>
      </c>
      <c r="H27" s="109">
        <f t="shared" si="0"/>
        <v>0</v>
      </c>
      <c r="I27" s="109">
        <v>54.69</v>
      </c>
      <c r="J27" s="108">
        <v>0</v>
      </c>
      <c r="K27" s="89">
        <f t="shared" si="3"/>
        <v>54.69</v>
      </c>
      <c r="L27" s="84"/>
      <c r="M27" s="84"/>
    </row>
    <row r="28" spans="1:13" ht="15.6" x14ac:dyDescent="0.3">
      <c r="A28" s="84">
        <v>25</v>
      </c>
      <c r="B28" s="95" t="s">
        <v>7</v>
      </c>
      <c r="C28" s="95"/>
      <c r="D28" s="95"/>
      <c r="E28" s="103">
        <v>100000</v>
      </c>
      <c r="F28" s="96">
        <v>111</v>
      </c>
      <c r="G28" s="86">
        <v>20000</v>
      </c>
      <c r="H28" s="89">
        <f t="shared" si="0"/>
        <v>3041.0958904109589</v>
      </c>
      <c r="I28" s="93">
        <f t="shared" si="1"/>
        <v>23041.095890410958</v>
      </c>
      <c r="J28" s="86">
        <v>80000</v>
      </c>
      <c r="K28" s="89">
        <f t="shared" si="3"/>
        <v>23041.095890410958</v>
      </c>
      <c r="L28" s="84" t="s">
        <v>116</v>
      </c>
      <c r="M28" s="84"/>
    </row>
    <row r="29" spans="1:13" ht="15.6" x14ac:dyDescent="0.3">
      <c r="A29" s="84">
        <v>26</v>
      </c>
      <c r="B29" s="95" t="s">
        <v>102</v>
      </c>
      <c r="C29" s="95"/>
      <c r="D29" s="95"/>
      <c r="E29" s="103">
        <v>50000</v>
      </c>
      <c r="F29" s="96">
        <v>97</v>
      </c>
      <c r="G29" s="86">
        <v>10000</v>
      </c>
      <c r="H29" s="89">
        <f t="shared" si="0"/>
        <v>1328.7671232876712</v>
      </c>
      <c r="I29" s="93">
        <f t="shared" si="1"/>
        <v>11328.767123287671</v>
      </c>
      <c r="J29" s="86">
        <f t="shared" si="2"/>
        <v>40000</v>
      </c>
      <c r="K29" s="89">
        <f t="shared" si="3"/>
        <v>11328.767123287671</v>
      </c>
      <c r="L29" s="84"/>
      <c r="M29" s="84"/>
    </row>
    <row r="30" spans="1:13" ht="15.6" x14ac:dyDescent="0.3">
      <c r="A30" s="84">
        <v>27</v>
      </c>
      <c r="B30" s="95" t="s">
        <v>45</v>
      </c>
      <c r="C30" s="95"/>
      <c r="D30" s="95"/>
      <c r="E30" s="103">
        <v>50000</v>
      </c>
      <c r="F30" s="96">
        <v>96</v>
      </c>
      <c r="G30" s="86">
        <v>10000</v>
      </c>
      <c r="H30" s="89">
        <f t="shared" si="0"/>
        <v>1315.0684931506848</v>
      </c>
      <c r="I30" s="93">
        <f t="shared" si="1"/>
        <v>11315.068493150684</v>
      </c>
      <c r="J30" s="86">
        <f t="shared" si="2"/>
        <v>40000</v>
      </c>
      <c r="K30" s="89">
        <f t="shared" si="3"/>
        <v>11315.068493150684</v>
      </c>
      <c r="L30" s="84"/>
      <c r="M30" s="84"/>
    </row>
    <row r="31" spans="1:13" ht="15.6" x14ac:dyDescent="0.3">
      <c r="A31" s="84">
        <v>28</v>
      </c>
      <c r="B31" s="95" t="s">
        <v>15</v>
      </c>
      <c r="C31" s="95"/>
      <c r="D31" s="95"/>
      <c r="E31" s="103">
        <v>100000</v>
      </c>
      <c r="F31" s="96">
        <v>93</v>
      </c>
      <c r="G31" s="86">
        <v>20000</v>
      </c>
      <c r="H31" s="89">
        <f t="shared" si="0"/>
        <v>2547.9452054794519</v>
      </c>
      <c r="I31" s="93">
        <f t="shared" si="1"/>
        <v>22547.945205479453</v>
      </c>
      <c r="J31" s="86">
        <f t="shared" si="2"/>
        <v>80000</v>
      </c>
      <c r="K31" s="89">
        <f t="shared" si="3"/>
        <v>22547.945205479453</v>
      </c>
      <c r="L31" s="84"/>
      <c r="M31" s="84"/>
    </row>
    <row r="32" spans="1:13" ht="15.6" x14ac:dyDescent="0.3">
      <c r="A32" s="84">
        <v>29</v>
      </c>
      <c r="B32" s="95" t="s">
        <v>103</v>
      </c>
      <c r="C32" s="110">
        <v>29000</v>
      </c>
      <c r="D32" s="110">
        <v>28835.77</v>
      </c>
      <c r="E32" s="103">
        <v>150000</v>
      </c>
      <c r="F32" s="96">
        <v>93</v>
      </c>
      <c r="G32" s="86">
        <v>30000</v>
      </c>
      <c r="H32" s="89">
        <f>(E32*10%/365*F32)-164.23</f>
        <v>3657.6878082191779</v>
      </c>
      <c r="I32" s="111">
        <f t="shared" si="1"/>
        <v>33657.687808219176</v>
      </c>
      <c r="J32" s="86">
        <f t="shared" si="2"/>
        <v>120000</v>
      </c>
      <c r="K32" s="89">
        <f t="shared" si="3"/>
        <v>33657.687808219176</v>
      </c>
      <c r="L32" s="84"/>
      <c r="M32" s="84"/>
    </row>
    <row r="33" spans="1:15" ht="15.6" x14ac:dyDescent="0.3">
      <c r="A33" s="84">
        <v>30</v>
      </c>
      <c r="B33" s="95" t="s">
        <v>31</v>
      </c>
      <c r="C33" s="95"/>
      <c r="D33" s="95"/>
      <c r="E33" s="103">
        <v>30000</v>
      </c>
      <c r="F33" s="96">
        <v>77</v>
      </c>
      <c r="G33" s="86">
        <v>6000</v>
      </c>
      <c r="H33" s="89">
        <f t="shared" si="0"/>
        <v>632.87671232876721</v>
      </c>
      <c r="I33" s="93">
        <f t="shared" si="1"/>
        <v>6632.8767123287671</v>
      </c>
      <c r="J33" s="86">
        <f t="shared" si="2"/>
        <v>24000</v>
      </c>
      <c r="K33" s="89">
        <f t="shared" si="3"/>
        <v>6632.8767123287671</v>
      </c>
      <c r="L33" s="84"/>
      <c r="M33" s="84"/>
    </row>
    <row r="34" spans="1:15" ht="15.6" x14ac:dyDescent="0.3">
      <c r="A34" s="84">
        <v>31</v>
      </c>
      <c r="B34" s="95" t="s">
        <v>104</v>
      </c>
      <c r="C34" s="95">
        <v>30000</v>
      </c>
      <c r="D34" s="95">
        <v>20000</v>
      </c>
      <c r="E34" s="103">
        <v>10000</v>
      </c>
      <c r="F34" s="96">
        <v>69</v>
      </c>
      <c r="G34" s="86">
        <v>2000</v>
      </c>
      <c r="H34" s="89">
        <f>(E34*10%/365*F34)+33</f>
        <v>222.04109589041096</v>
      </c>
      <c r="I34" s="93">
        <f t="shared" si="1"/>
        <v>2222.0410958904108</v>
      </c>
      <c r="J34" s="86">
        <f t="shared" si="2"/>
        <v>8000</v>
      </c>
      <c r="K34" s="89">
        <f t="shared" si="3"/>
        <v>2222.0410958904108</v>
      </c>
      <c r="L34" s="84"/>
      <c r="M34" s="84"/>
    </row>
    <row r="35" spans="1:15" ht="15.6" x14ac:dyDescent="0.3">
      <c r="A35" s="84">
        <v>32</v>
      </c>
      <c r="B35" s="95" t="s">
        <v>47</v>
      </c>
      <c r="C35" s="95"/>
      <c r="D35" s="95"/>
      <c r="E35" s="103">
        <v>60000</v>
      </c>
      <c r="F35" s="96">
        <v>38</v>
      </c>
      <c r="G35" s="86">
        <v>12000</v>
      </c>
      <c r="H35" s="89">
        <f t="shared" si="0"/>
        <v>624.65753424657544</v>
      </c>
      <c r="I35" s="93">
        <f t="shared" si="1"/>
        <v>12624.657534246575</v>
      </c>
      <c r="J35" s="86">
        <f t="shared" si="2"/>
        <v>48000</v>
      </c>
      <c r="K35" s="89">
        <f t="shared" si="3"/>
        <v>12624.657534246575</v>
      </c>
      <c r="L35" s="84"/>
      <c r="M35" s="112">
        <f>(K35+K16)</f>
        <v>23600</v>
      </c>
    </row>
    <row r="36" spans="1:15" ht="15.6" x14ac:dyDescent="0.3">
      <c r="A36" s="84">
        <v>33</v>
      </c>
      <c r="B36" s="95" t="s">
        <v>43</v>
      </c>
      <c r="C36" s="95"/>
      <c r="D36" s="95"/>
      <c r="E36" s="103">
        <v>50000</v>
      </c>
      <c r="F36" s="96">
        <v>38</v>
      </c>
      <c r="G36" s="86">
        <v>0</v>
      </c>
      <c r="H36" s="89">
        <f t="shared" si="0"/>
        <v>520.54794520547944</v>
      </c>
      <c r="I36" s="93">
        <f t="shared" si="1"/>
        <v>520.54794520547944</v>
      </c>
      <c r="J36" s="86">
        <f t="shared" si="2"/>
        <v>50000</v>
      </c>
      <c r="K36" s="89">
        <f t="shared" si="3"/>
        <v>520.54794520547944</v>
      </c>
      <c r="L36" s="84"/>
      <c r="M36" s="97">
        <f>(K36+K7)</f>
        <v>11495.890410958904</v>
      </c>
    </row>
    <row r="37" spans="1:15" ht="15.6" x14ac:dyDescent="0.3">
      <c r="A37" s="84">
        <v>34</v>
      </c>
      <c r="B37" s="95" t="s">
        <v>26</v>
      </c>
      <c r="C37" s="95"/>
      <c r="D37" s="95"/>
      <c r="E37" s="103">
        <v>25000</v>
      </c>
      <c r="F37" s="96">
        <v>24</v>
      </c>
      <c r="G37" s="86">
        <v>5000</v>
      </c>
      <c r="H37" s="89">
        <f t="shared" si="0"/>
        <v>164.38356164383561</v>
      </c>
      <c r="I37" s="93">
        <f t="shared" si="1"/>
        <v>5164.3835616438355</v>
      </c>
      <c r="J37" s="86">
        <f t="shared" si="2"/>
        <v>20000</v>
      </c>
      <c r="K37" s="89">
        <f t="shared" si="3"/>
        <v>5164.3835616438355</v>
      </c>
      <c r="L37" s="84"/>
      <c r="M37" s="84"/>
    </row>
    <row r="38" spans="1:15" ht="15.6" x14ac:dyDescent="0.3">
      <c r="A38" s="113"/>
      <c r="B38" s="113"/>
      <c r="C38" s="113"/>
      <c r="D38" s="113"/>
      <c r="E38" s="114">
        <f t="shared" ref="E38:H38" si="4">SUM(E4:E37)</f>
        <v>1420208.77</v>
      </c>
      <c r="F38" s="114">
        <f t="shared" si="4"/>
        <v>2838</v>
      </c>
      <c r="G38" s="115">
        <f t="shared" si="4"/>
        <v>350000</v>
      </c>
      <c r="H38" s="116">
        <f t="shared" si="4"/>
        <v>34002.324375342461</v>
      </c>
      <c r="I38" s="116">
        <f t="shared" ref="I38" si="5">SUM(I4:I37)</f>
        <v>384057.01437534246</v>
      </c>
      <c r="J38" s="117">
        <f t="shared" ref="J38" si="6">SUM(J4:J37)</f>
        <v>1070208.77</v>
      </c>
      <c r="K38" s="116">
        <f t="shared" ref="K38" si="7">SUM(K4:K37)</f>
        <v>384057.01437534246</v>
      </c>
      <c r="L38" s="113"/>
      <c r="M38" s="113"/>
    </row>
    <row r="40" spans="1:15" x14ac:dyDescent="0.3">
      <c r="I40" s="82" t="s">
        <v>114</v>
      </c>
    </row>
    <row r="41" spans="1:15" x14ac:dyDescent="0.3">
      <c r="I41" t="s">
        <v>115</v>
      </c>
    </row>
    <row r="42" spans="1:15" x14ac:dyDescent="0.3">
      <c r="O42" s="83"/>
    </row>
    <row r="43" spans="1:15" x14ac:dyDescent="0.3">
      <c r="O43" s="83"/>
    </row>
    <row r="44" spans="1:15" x14ac:dyDescent="0.3">
      <c r="O44" s="83"/>
    </row>
    <row r="45" spans="1:15" x14ac:dyDescent="0.3">
      <c r="O45" s="83"/>
    </row>
    <row r="46" spans="1:15" x14ac:dyDescent="0.3">
      <c r="O46" s="83"/>
    </row>
    <row r="47" spans="1:15" x14ac:dyDescent="0.3">
      <c r="O47" s="83"/>
    </row>
    <row r="48" spans="1:15" x14ac:dyDescent="0.3">
      <c r="O48" s="83"/>
    </row>
    <row r="49" spans="15:15" x14ac:dyDescent="0.3">
      <c r="O49" s="83"/>
    </row>
    <row r="50" spans="15:15" x14ac:dyDescent="0.3">
      <c r="O50" s="83"/>
    </row>
    <row r="51" spans="15:15" x14ac:dyDescent="0.3">
      <c r="O51" s="83"/>
    </row>
    <row r="52" spans="15:15" x14ac:dyDescent="0.3">
      <c r="O52" s="83"/>
    </row>
    <row r="53" spans="15:15" x14ac:dyDescent="0.3">
      <c r="O53" s="83"/>
    </row>
    <row r="54" spans="15:15" x14ac:dyDescent="0.3">
      <c r="O54" s="83"/>
    </row>
    <row r="55" spans="15:15" x14ac:dyDescent="0.3">
      <c r="O55" s="83"/>
    </row>
    <row r="56" spans="15:15" x14ac:dyDescent="0.3">
      <c r="O56" s="83"/>
    </row>
    <row r="57" spans="15:15" x14ac:dyDescent="0.3">
      <c r="O57" s="83"/>
    </row>
    <row r="58" spans="15:15" x14ac:dyDescent="0.3">
      <c r="O58" s="83"/>
    </row>
    <row r="59" spans="15:15" x14ac:dyDescent="0.3">
      <c r="O59" s="83"/>
    </row>
    <row r="60" spans="15:15" x14ac:dyDescent="0.3">
      <c r="O60" s="83"/>
    </row>
    <row r="61" spans="15:15" x14ac:dyDescent="0.3">
      <c r="O61" s="83"/>
    </row>
    <row r="62" spans="15:15" x14ac:dyDescent="0.3">
      <c r="O62" s="83"/>
    </row>
    <row r="63" spans="15:15" x14ac:dyDescent="0.3">
      <c r="O63" s="83"/>
    </row>
    <row r="64" spans="15:15" x14ac:dyDescent="0.3">
      <c r="O64" s="83"/>
    </row>
    <row r="65" spans="1:15" x14ac:dyDescent="0.3">
      <c r="O65" s="83"/>
    </row>
    <row r="66" spans="1:15" x14ac:dyDescent="0.3">
      <c r="O66" s="83"/>
    </row>
    <row r="67" spans="1:15" x14ac:dyDescent="0.3">
      <c r="O67" s="83"/>
    </row>
    <row r="68" spans="1:15" ht="15.6" x14ac:dyDescent="0.3">
      <c r="A68" s="113"/>
      <c r="B68" s="113" t="s">
        <v>122</v>
      </c>
      <c r="C68" s="113"/>
      <c r="D68" s="113"/>
      <c r="E68" s="113"/>
      <c r="O68" s="83"/>
    </row>
    <row r="69" spans="1:15" ht="46.8" x14ac:dyDescent="0.3">
      <c r="A69" s="96" t="s">
        <v>0</v>
      </c>
      <c r="B69" s="118" t="s">
        <v>1</v>
      </c>
      <c r="C69" s="119" t="s">
        <v>55</v>
      </c>
      <c r="D69" s="119" t="s">
        <v>105</v>
      </c>
      <c r="E69" s="84" t="s">
        <v>106</v>
      </c>
    </row>
    <row r="70" spans="1:15" ht="15.6" x14ac:dyDescent="0.3">
      <c r="A70" s="96">
        <v>1</v>
      </c>
      <c r="B70" s="84" t="s">
        <v>6</v>
      </c>
      <c r="C70" s="96">
        <v>28000</v>
      </c>
      <c r="D70" s="96">
        <v>6000</v>
      </c>
      <c r="E70" s="84">
        <f t="shared" ref="E70:E101" si="8">C70+D70</f>
        <v>34000</v>
      </c>
    </row>
    <row r="71" spans="1:15" ht="15.6" x14ac:dyDescent="0.3">
      <c r="A71" s="96">
        <v>2</v>
      </c>
      <c r="B71" s="84" t="s">
        <v>17</v>
      </c>
      <c r="C71" s="96">
        <v>28000</v>
      </c>
      <c r="D71" s="96">
        <v>6000</v>
      </c>
      <c r="E71" s="84">
        <f t="shared" si="8"/>
        <v>34000</v>
      </c>
    </row>
    <row r="72" spans="1:15" ht="15.6" x14ac:dyDescent="0.3">
      <c r="A72" s="96">
        <v>3</v>
      </c>
      <c r="B72" s="84" t="s">
        <v>11</v>
      </c>
      <c r="C72" s="96">
        <v>28000</v>
      </c>
      <c r="D72" s="96">
        <v>6000</v>
      </c>
      <c r="E72" s="84">
        <f t="shared" si="8"/>
        <v>34000</v>
      </c>
    </row>
    <row r="73" spans="1:15" ht="15.6" x14ac:dyDescent="0.3">
      <c r="A73" s="96">
        <v>4</v>
      </c>
      <c r="B73" s="84" t="s">
        <v>51</v>
      </c>
      <c r="C73" s="96">
        <v>28000</v>
      </c>
      <c r="D73" s="96">
        <v>6000</v>
      </c>
      <c r="E73" s="84">
        <f t="shared" si="8"/>
        <v>34000</v>
      </c>
    </row>
    <row r="74" spans="1:15" ht="15.6" x14ac:dyDescent="0.3">
      <c r="A74" s="96">
        <v>5</v>
      </c>
      <c r="B74" s="84" t="s">
        <v>59</v>
      </c>
      <c r="C74" s="96">
        <v>28000</v>
      </c>
      <c r="D74" s="96">
        <v>6000</v>
      </c>
      <c r="E74" s="84">
        <f t="shared" si="8"/>
        <v>34000</v>
      </c>
    </row>
    <row r="75" spans="1:15" ht="15.6" x14ac:dyDescent="0.3">
      <c r="A75" s="96">
        <v>6</v>
      </c>
      <c r="B75" s="110" t="s">
        <v>15</v>
      </c>
      <c r="C75" s="96">
        <v>28000</v>
      </c>
      <c r="D75" s="96">
        <v>6000</v>
      </c>
      <c r="E75" s="84">
        <f t="shared" si="8"/>
        <v>34000</v>
      </c>
    </row>
    <row r="76" spans="1:15" ht="15.6" x14ac:dyDescent="0.3">
      <c r="A76" s="96">
        <v>7</v>
      </c>
      <c r="B76" s="104" t="s">
        <v>103</v>
      </c>
      <c r="C76" s="96">
        <v>28000</v>
      </c>
      <c r="D76" s="96">
        <v>6000</v>
      </c>
      <c r="E76" s="84">
        <f t="shared" si="8"/>
        <v>34000</v>
      </c>
    </row>
    <row r="77" spans="1:15" ht="15.6" x14ac:dyDescent="0.3">
      <c r="A77" s="96">
        <v>8</v>
      </c>
      <c r="B77" s="84" t="s">
        <v>34</v>
      </c>
      <c r="C77" s="96">
        <v>28000</v>
      </c>
      <c r="D77" s="96">
        <v>6000</v>
      </c>
      <c r="E77" s="84">
        <f t="shared" si="8"/>
        <v>34000</v>
      </c>
    </row>
    <row r="78" spans="1:15" ht="15.6" x14ac:dyDescent="0.3">
      <c r="A78" s="96">
        <v>9</v>
      </c>
      <c r="B78" s="110" t="s">
        <v>26</v>
      </c>
      <c r="C78" s="96">
        <v>28000</v>
      </c>
      <c r="D78" s="96">
        <v>6000</v>
      </c>
      <c r="E78" s="84">
        <f t="shared" si="8"/>
        <v>34000</v>
      </c>
    </row>
    <row r="79" spans="1:15" ht="15.6" x14ac:dyDescent="0.3">
      <c r="A79" s="96">
        <v>10</v>
      </c>
      <c r="B79" s="84" t="s">
        <v>46</v>
      </c>
      <c r="C79" s="96">
        <v>28000</v>
      </c>
      <c r="D79" s="96">
        <v>6000</v>
      </c>
      <c r="E79" s="84">
        <f t="shared" si="8"/>
        <v>34000</v>
      </c>
    </row>
    <row r="80" spans="1:15" ht="15.6" x14ac:dyDescent="0.3">
      <c r="A80" s="96">
        <v>11</v>
      </c>
      <c r="B80" s="110" t="s">
        <v>43</v>
      </c>
      <c r="C80" s="96">
        <v>28000</v>
      </c>
      <c r="D80" s="96">
        <v>6000</v>
      </c>
      <c r="E80" s="84">
        <f t="shared" si="8"/>
        <v>34000</v>
      </c>
    </row>
    <row r="81" spans="1:5" ht="15.6" x14ac:dyDescent="0.3">
      <c r="A81" s="96">
        <v>12</v>
      </c>
      <c r="B81" s="84" t="s">
        <v>24</v>
      </c>
      <c r="C81" s="96">
        <v>28000</v>
      </c>
      <c r="D81" s="96">
        <v>6000</v>
      </c>
      <c r="E81" s="84">
        <f t="shared" si="8"/>
        <v>34000</v>
      </c>
    </row>
    <row r="82" spans="1:5" ht="15.6" x14ac:dyDescent="0.3">
      <c r="A82" s="96">
        <v>13</v>
      </c>
      <c r="B82" s="84" t="s">
        <v>27</v>
      </c>
      <c r="C82" s="96">
        <v>28000</v>
      </c>
      <c r="D82" s="96">
        <v>6000</v>
      </c>
      <c r="E82" s="84">
        <f t="shared" si="8"/>
        <v>34000</v>
      </c>
    </row>
    <row r="83" spans="1:5" ht="15.6" x14ac:dyDescent="0.3">
      <c r="A83" s="96">
        <v>14</v>
      </c>
      <c r="B83" s="84" t="s">
        <v>13</v>
      </c>
      <c r="C83" s="96">
        <v>28000</v>
      </c>
      <c r="D83" s="96">
        <v>6000</v>
      </c>
      <c r="E83" s="84">
        <f t="shared" si="8"/>
        <v>34000</v>
      </c>
    </row>
    <row r="84" spans="1:5" ht="15.6" x14ac:dyDescent="0.3">
      <c r="A84" s="96">
        <v>15</v>
      </c>
      <c r="B84" s="84" t="s">
        <v>36</v>
      </c>
      <c r="C84" s="96">
        <v>28000</v>
      </c>
      <c r="D84" s="96">
        <v>6000</v>
      </c>
      <c r="E84" s="84">
        <f t="shared" si="8"/>
        <v>34000</v>
      </c>
    </row>
    <row r="85" spans="1:5" ht="15.6" x14ac:dyDescent="0.3">
      <c r="A85" s="96">
        <v>16</v>
      </c>
      <c r="B85" s="84" t="s">
        <v>31</v>
      </c>
      <c r="C85" s="96">
        <v>28000</v>
      </c>
      <c r="D85" s="96">
        <v>6000</v>
      </c>
      <c r="E85" s="84">
        <f t="shared" si="8"/>
        <v>34000</v>
      </c>
    </row>
    <row r="86" spans="1:5" ht="15.6" x14ac:dyDescent="0.3">
      <c r="A86" s="96">
        <v>17</v>
      </c>
      <c r="B86" s="84" t="s">
        <v>14</v>
      </c>
      <c r="C86" s="96">
        <v>28000</v>
      </c>
      <c r="D86" s="96">
        <v>6000</v>
      </c>
      <c r="E86" s="84">
        <f t="shared" si="8"/>
        <v>34000</v>
      </c>
    </row>
    <row r="87" spans="1:5" ht="15.6" x14ac:dyDescent="0.3">
      <c r="A87" s="96">
        <v>18</v>
      </c>
      <c r="B87" s="84" t="s">
        <v>19</v>
      </c>
      <c r="C87" s="96">
        <v>28000</v>
      </c>
      <c r="D87" s="96">
        <v>6000</v>
      </c>
      <c r="E87" s="84">
        <f t="shared" si="8"/>
        <v>34000</v>
      </c>
    </row>
    <row r="88" spans="1:5" ht="15.6" x14ac:dyDescent="0.3">
      <c r="A88" s="96">
        <v>19</v>
      </c>
      <c r="B88" s="84" t="s">
        <v>23</v>
      </c>
      <c r="C88" s="96">
        <v>28000</v>
      </c>
      <c r="D88" s="96">
        <v>6000</v>
      </c>
      <c r="E88" s="84">
        <f t="shared" si="8"/>
        <v>34000</v>
      </c>
    </row>
    <row r="89" spans="1:5" ht="15.6" x14ac:dyDescent="0.3">
      <c r="A89" s="96">
        <v>20</v>
      </c>
      <c r="B89" s="110" t="s">
        <v>45</v>
      </c>
      <c r="C89" s="96">
        <v>28000</v>
      </c>
      <c r="D89" s="96">
        <v>6000</v>
      </c>
      <c r="E89" s="84">
        <f t="shared" si="8"/>
        <v>34000</v>
      </c>
    </row>
    <row r="90" spans="1:5" ht="15.6" x14ac:dyDescent="0.3">
      <c r="A90" s="96">
        <v>21</v>
      </c>
      <c r="B90" s="84" t="s">
        <v>49</v>
      </c>
      <c r="C90" s="96">
        <v>28000</v>
      </c>
      <c r="D90" s="96">
        <v>6000</v>
      </c>
      <c r="E90" s="84">
        <f t="shared" si="8"/>
        <v>34000</v>
      </c>
    </row>
    <row r="91" spans="1:5" ht="15.6" x14ac:dyDescent="0.3">
      <c r="A91" s="96">
        <v>22</v>
      </c>
      <c r="B91" s="84" t="s">
        <v>22</v>
      </c>
      <c r="C91" s="96">
        <v>28000</v>
      </c>
      <c r="D91" s="96">
        <v>6000</v>
      </c>
      <c r="E91" s="84">
        <f t="shared" si="8"/>
        <v>34000</v>
      </c>
    </row>
    <row r="92" spans="1:5" ht="15.6" x14ac:dyDescent="0.3">
      <c r="A92" s="96">
        <v>23</v>
      </c>
      <c r="B92" s="84" t="s">
        <v>44</v>
      </c>
      <c r="C92" s="96">
        <v>28000</v>
      </c>
      <c r="D92" s="96">
        <v>6000</v>
      </c>
      <c r="E92" s="84">
        <f t="shared" si="8"/>
        <v>34000</v>
      </c>
    </row>
    <row r="93" spans="1:5" ht="15.6" x14ac:dyDescent="0.3">
      <c r="A93" s="96">
        <v>24</v>
      </c>
      <c r="B93" s="84" t="s">
        <v>33</v>
      </c>
      <c r="C93" s="96">
        <v>28000</v>
      </c>
      <c r="D93" s="96">
        <v>6000</v>
      </c>
      <c r="E93" s="84">
        <f t="shared" si="8"/>
        <v>34000</v>
      </c>
    </row>
    <row r="94" spans="1:5" ht="15.6" x14ac:dyDescent="0.3">
      <c r="A94" s="96">
        <v>25</v>
      </c>
      <c r="B94" s="104" t="s">
        <v>107</v>
      </c>
      <c r="C94" s="96">
        <v>28000</v>
      </c>
      <c r="D94" s="96">
        <v>6000</v>
      </c>
      <c r="E94" s="84">
        <f t="shared" si="8"/>
        <v>34000</v>
      </c>
    </row>
    <row r="95" spans="1:5" ht="15.6" x14ac:dyDescent="0.3">
      <c r="A95" s="96">
        <v>26</v>
      </c>
      <c r="B95" s="84" t="s">
        <v>41</v>
      </c>
      <c r="C95" s="96">
        <v>28000</v>
      </c>
      <c r="D95" s="96">
        <v>6000</v>
      </c>
      <c r="E95" s="84">
        <f t="shared" si="8"/>
        <v>34000</v>
      </c>
    </row>
    <row r="96" spans="1:5" ht="15.6" x14ac:dyDescent="0.3">
      <c r="A96" s="96">
        <v>27</v>
      </c>
      <c r="B96" s="84" t="s">
        <v>29</v>
      </c>
      <c r="C96" s="96">
        <v>28000</v>
      </c>
      <c r="D96" s="96">
        <v>6000</v>
      </c>
      <c r="E96" s="84">
        <f t="shared" si="8"/>
        <v>34000</v>
      </c>
    </row>
    <row r="97" spans="1:5" ht="15.6" x14ac:dyDescent="0.3">
      <c r="A97" s="96">
        <v>28</v>
      </c>
      <c r="B97" s="84" t="s">
        <v>42</v>
      </c>
      <c r="C97" s="96">
        <v>28000</v>
      </c>
      <c r="D97" s="96">
        <v>6000</v>
      </c>
      <c r="E97" s="84">
        <f t="shared" si="8"/>
        <v>34000</v>
      </c>
    </row>
    <row r="98" spans="1:5" ht="15.6" x14ac:dyDescent="0.3">
      <c r="A98" s="96">
        <v>29</v>
      </c>
      <c r="B98" s="110" t="s">
        <v>7</v>
      </c>
      <c r="C98" s="96">
        <v>28000</v>
      </c>
      <c r="D98" s="96">
        <v>6000</v>
      </c>
      <c r="E98" s="84">
        <f t="shared" si="8"/>
        <v>34000</v>
      </c>
    </row>
    <row r="99" spans="1:5" ht="15.6" x14ac:dyDescent="0.3">
      <c r="A99" s="96">
        <v>30</v>
      </c>
      <c r="B99" s="110" t="s">
        <v>10</v>
      </c>
      <c r="C99" s="96">
        <v>28000</v>
      </c>
      <c r="D99" s="96">
        <v>6000</v>
      </c>
      <c r="E99" s="84">
        <f t="shared" si="8"/>
        <v>34000</v>
      </c>
    </row>
    <row r="100" spans="1:5" ht="15.6" x14ac:dyDescent="0.3">
      <c r="A100" s="96">
        <v>31</v>
      </c>
      <c r="B100" s="84" t="s">
        <v>25</v>
      </c>
      <c r="C100" s="96">
        <v>28000</v>
      </c>
      <c r="D100" s="96">
        <v>6000</v>
      </c>
      <c r="E100" s="84">
        <f t="shared" si="8"/>
        <v>34000</v>
      </c>
    </row>
    <row r="101" spans="1:5" ht="15.6" x14ac:dyDescent="0.3">
      <c r="A101" s="96">
        <v>32</v>
      </c>
      <c r="B101" s="84" t="s">
        <v>21</v>
      </c>
      <c r="C101" s="96">
        <v>28000</v>
      </c>
      <c r="D101" s="96">
        <v>6000</v>
      </c>
      <c r="E101" s="84">
        <f t="shared" si="8"/>
        <v>34000</v>
      </c>
    </row>
    <row r="102" spans="1:5" ht="15.6" x14ac:dyDescent="0.3">
      <c r="A102" s="96">
        <v>33</v>
      </c>
      <c r="B102" s="84" t="s">
        <v>18</v>
      </c>
      <c r="C102" s="96">
        <v>28000</v>
      </c>
      <c r="D102" s="96">
        <v>6000</v>
      </c>
      <c r="E102" s="84">
        <f t="shared" ref="E102:E119" si="9">C102+D102</f>
        <v>34000</v>
      </c>
    </row>
    <row r="103" spans="1:5" ht="15.6" x14ac:dyDescent="0.3">
      <c r="A103" s="96">
        <v>34</v>
      </c>
      <c r="B103" s="95" t="s">
        <v>53</v>
      </c>
      <c r="C103" s="96">
        <v>28000</v>
      </c>
      <c r="D103" s="96">
        <v>6000</v>
      </c>
      <c r="E103" s="84">
        <f t="shared" si="9"/>
        <v>34000</v>
      </c>
    </row>
    <row r="104" spans="1:5" ht="15.6" x14ac:dyDescent="0.3">
      <c r="A104" s="96">
        <v>35</v>
      </c>
      <c r="B104" s="110" t="s">
        <v>50</v>
      </c>
      <c r="C104" s="96">
        <v>28000</v>
      </c>
      <c r="D104" s="96">
        <v>6000</v>
      </c>
      <c r="E104" s="84">
        <f t="shared" si="9"/>
        <v>34000</v>
      </c>
    </row>
    <row r="105" spans="1:5" ht="15.6" x14ac:dyDescent="0.3">
      <c r="A105" s="96">
        <v>36</v>
      </c>
      <c r="B105" s="84" t="s">
        <v>40</v>
      </c>
      <c r="C105" s="96">
        <v>28000</v>
      </c>
      <c r="D105" s="96">
        <v>6000</v>
      </c>
      <c r="E105" s="84">
        <f t="shared" si="9"/>
        <v>34000</v>
      </c>
    </row>
    <row r="106" spans="1:5" ht="15.6" x14ac:dyDescent="0.3">
      <c r="A106" s="96">
        <v>37</v>
      </c>
      <c r="B106" s="84" t="s">
        <v>39</v>
      </c>
      <c r="C106" s="96">
        <v>28000</v>
      </c>
      <c r="D106" s="96">
        <v>6000</v>
      </c>
      <c r="E106" s="84">
        <f t="shared" si="9"/>
        <v>34000</v>
      </c>
    </row>
    <row r="107" spans="1:5" ht="15.6" x14ac:dyDescent="0.3">
      <c r="A107" s="96">
        <v>38</v>
      </c>
      <c r="B107" s="110" t="s">
        <v>30</v>
      </c>
      <c r="C107" s="96">
        <v>28000</v>
      </c>
      <c r="D107" s="96">
        <v>6000</v>
      </c>
      <c r="E107" s="84">
        <f t="shared" si="9"/>
        <v>34000</v>
      </c>
    </row>
    <row r="108" spans="1:5" ht="15.6" x14ac:dyDescent="0.3">
      <c r="A108" s="96">
        <v>39</v>
      </c>
      <c r="B108" s="84" t="s">
        <v>8</v>
      </c>
      <c r="C108" s="96">
        <v>28000</v>
      </c>
      <c r="D108" s="96">
        <v>6000</v>
      </c>
      <c r="E108" s="84">
        <f t="shared" si="9"/>
        <v>34000</v>
      </c>
    </row>
    <row r="109" spans="1:5" ht="15.6" x14ac:dyDescent="0.3">
      <c r="A109" s="96">
        <v>40</v>
      </c>
      <c r="B109" s="110" t="s">
        <v>20</v>
      </c>
      <c r="C109" s="96">
        <v>28000</v>
      </c>
      <c r="D109" s="96">
        <v>6000</v>
      </c>
      <c r="E109" s="84">
        <f t="shared" si="9"/>
        <v>34000</v>
      </c>
    </row>
    <row r="110" spans="1:5" ht="15.6" x14ac:dyDescent="0.3">
      <c r="A110" s="96">
        <v>41</v>
      </c>
      <c r="B110" s="110" t="s">
        <v>47</v>
      </c>
      <c r="C110" s="96">
        <v>28000</v>
      </c>
      <c r="D110" s="96">
        <v>6000</v>
      </c>
      <c r="E110" s="84">
        <f t="shared" si="9"/>
        <v>34000</v>
      </c>
    </row>
    <row r="111" spans="1:5" ht="15.6" x14ac:dyDescent="0.3">
      <c r="A111" s="96">
        <v>42</v>
      </c>
      <c r="B111" s="84" t="s">
        <v>37</v>
      </c>
      <c r="C111" s="96">
        <v>28000</v>
      </c>
      <c r="D111" s="96">
        <v>6000</v>
      </c>
      <c r="E111" s="84">
        <f t="shared" si="9"/>
        <v>34000</v>
      </c>
    </row>
    <row r="112" spans="1:5" ht="15.6" x14ac:dyDescent="0.3">
      <c r="A112" s="96">
        <v>43</v>
      </c>
      <c r="B112" s="110" t="s">
        <v>9</v>
      </c>
      <c r="C112" s="96">
        <v>28000</v>
      </c>
      <c r="D112" s="96">
        <v>6000</v>
      </c>
      <c r="E112" s="84">
        <f t="shared" si="9"/>
        <v>34000</v>
      </c>
    </row>
    <row r="113" spans="1:5" ht="15.6" x14ac:dyDescent="0.3">
      <c r="A113" s="96">
        <v>44</v>
      </c>
      <c r="B113" s="110" t="s">
        <v>48</v>
      </c>
      <c r="C113" s="96">
        <v>28000</v>
      </c>
      <c r="D113" s="96">
        <v>6000</v>
      </c>
      <c r="E113" s="84">
        <f t="shared" si="9"/>
        <v>34000</v>
      </c>
    </row>
    <row r="114" spans="1:5" ht="15.6" x14ac:dyDescent="0.3">
      <c r="A114" s="96">
        <v>45</v>
      </c>
      <c r="B114" s="84" t="s">
        <v>35</v>
      </c>
      <c r="C114" s="96">
        <v>28000</v>
      </c>
      <c r="D114" s="96">
        <v>6000</v>
      </c>
      <c r="E114" s="84">
        <f t="shared" si="9"/>
        <v>34000</v>
      </c>
    </row>
    <row r="115" spans="1:5" ht="15.6" x14ac:dyDescent="0.3">
      <c r="A115" s="96">
        <v>46</v>
      </c>
      <c r="B115" s="110" t="s">
        <v>32</v>
      </c>
      <c r="C115" s="96">
        <v>28000</v>
      </c>
      <c r="D115" s="96">
        <v>6000</v>
      </c>
      <c r="E115" s="84">
        <f t="shared" si="9"/>
        <v>34000</v>
      </c>
    </row>
    <row r="116" spans="1:5" ht="15.6" x14ac:dyDescent="0.3">
      <c r="A116" s="96">
        <v>47</v>
      </c>
      <c r="B116" s="84" t="s">
        <v>38</v>
      </c>
      <c r="C116" s="96">
        <v>28000</v>
      </c>
      <c r="D116" s="96">
        <v>6000</v>
      </c>
      <c r="E116" s="84">
        <f t="shared" si="9"/>
        <v>34000</v>
      </c>
    </row>
    <row r="117" spans="1:5" ht="15.6" x14ac:dyDescent="0.3">
      <c r="A117" s="96">
        <v>48</v>
      </c>
      <c r="B117" s="84" t="s">
        <v>28</v>
      </c>
      <c r="C117" s="96">
        <v>28000</v>
      </c>
      <c r="D117" s="96">
        <v>6000</v>
      </c>
      <c r="E117" s="84">
        <f t="shared" si="9"/>
        <v>34000</v>
      </c>
    </row>
    <row r="118" spans="1:5" ht="15.6" x14ac:dyDescent="0.3">
      <c r="A118" s="96">
        <v>49</v>
      </c>
      <c r="B118" s="84" t="s">
        <v>12</v>
      </c>
      <c r="C118" s="96">
        <v>28000</v>
      </c>
      <c r="D118" s="96">
        <v>6000</v>
      </c>
      <c r="E118" s="84">
        <f t="shared" si="9"/>
        <v>34000</v>
      </c>
    </row>
    <row r="119" spans="1:5" ht="15.6" x14ac:dyDescent="0.3">
      <c r="A119" s="96">
        <v>50</v>
      </c>
      <c r="B119" s="110" t="s">
        <v>16</v>
      </c>
      <c r="C119" s="96">
        <v>28000</v>
      </c>
      <c r="D119" s="96">
        <v>6000</v>
      </c>
      <c r="E119" s="84">
        <f t="shared" si="9"/>
        <v>34000</v>
      </c>
    </row>
    <row r="120" spans="1:5" ht="15.6" x14ac:dyDescent="0.3">
      <c r="A120" s="92"/>
      <c r="B120" s="84"/>
      <c r="C120" s="120">
        <f t="shared" ref="C120:D120" si="10">SUM(C70:C119)</f>
        <v>1400000</v>
      </c>
      <c r="D120" s="120">
        <f t="shared" si="10"/>
        <v>300000</v>
      </c>
      <c r="E120" s="120">
        <f>SUM(E70:E119)</f>
        <v>1700000</v>
      </c>
    </row>
  </sheetData>
  <sortState ref="A44:E93">
    <sortCondition ref="B60"/>
  </sortState>
  <mergeCells count="2">
    <mergeCell ref="B2:B3"/>
    <mergeCell ref="E2:M2"/>
  </mergeCells>
  <pageMargins left="0.7" right="0.7" top="0.75" bottom="0.75" header="0.3" footer="0.3"/>
  <pageSetup scale="63" fitToWidth="0" fitToHeight="0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topLeftCell="A3" workbookViewId="0">
      <selection activeCell="N12" sqref="N12"/>
    </sheetView>
  </sheetViews>
  <sheetFormatPr defaultRowHeight="14.4" x14ac:dyDescent="0.3"/>
  <cols>
    <col min="1" max="1" width="4.109375" style="134" customWidth="1"/>
    <col min="2" max="2" width="19.21875" customWidth="1"/>
    <col min="3" max="3" width="8" style="142" customWidth="1"/>
    <col min="4" max="4" width="8.88671875" style="122" customWidth="1"/>
    <col min="5" max="5" width="5.88671875" style="122" customWidth="1"/>
    <col min="6" max="6" width="11" style="122" customWidth="1"/>
    <col min="7" max="7" width="13.109375" style="122" customWidth="1"/>
    <col min="8" max="8" width="11.5546875" style="122" customWidth="1"/>
    <col min="9" max="9" width="12.88671875" style="122" customWidth="1"/>
    <col min="10" max="10" width="15.77734375" customWidth="1"/>
  </cols>
  <sheetData>
    <row r="1" spans="1:12" ht="15.6" x14ac:dyDescent="0.3">
      <c r="A1" s="133"/>
      <c r="B1" s="184" t="s">
        <v>69</v>
      </c>
      <c r="C1" s="135"/>
      <c r="D1" s="186" t="s">
        <v>131</v>
      </c>
      <c r="E1" s="186"/>
      <c r="F1" s="186"/>
      <c r="G1" s="186"/>
      <c r="H1" s="186"/>
      <c r="I1" s="186"/>
      <c r="J1" s="186"/>
    </row>
    <row r="2" spans="1:12" ht="55.8" customHeight="1" x14ac:dyDescent="0.3">
      <c r="A2" s="133"/>
      <c r="B2" s="185"/>
      <c r="C2" s="136" t="s">
        <v>110</v>
      </c>
      <c r="D2" s="124" t="s">
        <v>112</v>
      </c>
      <c r="E2" s="125" t="s">
        <v>81</v>
      </c>
      <c r="F2" s="125" t="s">
        <v>108</v>
      </c>
      <c r="G2" s="125" t="s">
        <v>78</v>
      </c>
      <c r="H2" s="126" t="s">
        <v>84</v>
      </c>
      <c r="I2" s="127" t="s">
        <v>109</v>
      </c>
      <c r="J2" s="128" t="s">
        <v>85</v>
      </c>
    </row>
    <row r="3" spans="1:12" s="132" customFormat="1" ht="19.2" customHeight="1" x14ac:dyDescent="0.3">
      <c r="A3" s="133">
        <v>1</v>
      </c>
      <c r="B3" s="130" t="s">
        <v>130</v>
      </c>
      <c r="C3" s="137"/>
      <c r="D3" s="123">
        <v>80000</v>
      </c>
      <c r="E3" s="86">
        <v>89</v>
      </c>
      <c r="F3" s="86">
        <v>20000</v>
      </c>
      <c r="G3" s="93">
        <f t="shared" ref="G3:G21" si="0">(D3*10%/365*E3)</f>
        <v>1950.6849315068491</v>
      </c>
      <c r="H3" s="93">
        <f>F3+G3</f>
        <v>21950.68493150685</v>
      </c>
      <c r="I3" s="86">
        <f>D3-F3</f>
        <v>60000</v>
      </c>
      <c r="J3" s="131">
        <f t="shared" ref="J3:J25" si="1">H3</f>
        <v>21950.68493150685</v>
      </c>
    </row>
    <row r="4" spans="1:12" ht="15.6" x14ac:dyDescent="0.3">
      <c r="A4" s="133">
        <v>2</v>
      </c>
      <c r="B4" s="95" t="s">
        <v>26</v>
      </c>
      <c r="C4" s="138"/>
      <c r="D4" s="123">
        <v>105000</v>
      </c>
      <c r="E4" s="96">
        <v>89</v>
      </c>
      <c r="F4" s="86">
        <v>30000</v>
      </c>
      <c r="G4" s="93">
        <f t="shared" si="0"/>
        <v>2560.2739726027398</v>
      </c>
      <c r="H4" s="93">
        <f>F4+G4</f>
        <v>32560.273972602739</v>
      </c>
      <c r="I4" s="86">
        <f>D4-F4</f>
        <v>75000</v>
      </c>
      <c r="J4" s="89">
        <f t="shared" si="1"/>
        <v>32560.273972602739</v>
      </c>
    </row>
    <row r="5" spans="1:12" ht="15.6" x14ac:dyDescent="0.3">
      <c r="A5" s="133">
        <v>3</v>
      </c>
      <c r="B5" s="95" t="s">
        <v>46</v>
      </c>
      <c r="C5" s="138"/>
      <c r="D5" s="123">
        <v>30000</v>
      </c>
      <c r="E5" s="96">
        <v>89</v>
      </c>
      <c r="F5" s="86">
        <v>10000</v>
      </c>
      <c r="G5" s="93">
        <f t="shared" si="0"/>
        <v>731.50684931506862</v>
      </c>
      <c r="H5" s="93">
        <f t="shared" ref="H5:H25" si="2">F5+G5</f>
        <v>10731.506849315068</v>
      </c>
      <c r="I5" s="86">
        <f t="shared" ref="I5:I25" si="3">D5-F5</f>
        <v>20000</v>
      </c>
      <c r="J5" s="89">
        <f t="shared" si="1"/>
        <v>10731.506849315068</v>
      </c>
    </row>
    <row r="6" spans="1:12" ht="15.6" x14ac:dyDescent="0.3">
      <c r="A6" s="133">
        <v>4</v>
      </c>
      <c r="B6" s="95" t="s">
        <v>43</v>
      </c>
      <c r="C6" s="138"/>
      <c r="D6" s="123">
        <v>30000</v>
      </c>
      <c r="E6" s="96">
        <v>89</v>
      </c>
      <c r="F6" s="86">
        <v>10000</v>
      </c>
      <c r="G6" s="93">
        <f t="shared" si="0"/>
        <v>731.50684931506862</v>
      </c>
      <c r="H6" s="93">
        <f t="shared" si="2"/>
        <v>10731.506849315068</v>
      </c>
      <c r="I6" s="86">
        <f t="shared" si="3"/>
        <v>20000</v>
      </c>
      <c r="J6" s="89">
        <f t="shared" si="1"/>
        <v>10731.506849315068</v>
      </c>
      <c r="K6" s="81">
        <f>J6+J24+6000</f>
        <v>18484.931506849316</v>
      </c>
      <c r="L6" t="s">
        <v>123</v>
      </c>
    </row>
    <row r="7" spans="1:12" ht="15.6" x14ac:dyDescent="0.3">
      <c r="A7" s="133">
        <v>5</v>
      </c>
      <c r="B7" s="95" t="s">
        <v>45</v>
      </c>
      <c r="C7" s="138" t="s">
        <v>127</v>
      </c>
      <c r="D7" s="123">
        <v>50000</v>
      </c>
      <c r="E7" s="96">
        <v>89</v>
      </c>
      <c r="F7" s="86">
        <v>10000</v>
      </c>
      <c r="G7" s="93">
        <f t="shared" si="0"/>
        <v>1219.1780821917807</v>
      </c>
      <c r="H7" s="93">
        <f t="shared" si="2"/>
        <v>11219.17808219178</v>
      </c>
      <c r="I7" s="86">
        <f t="shared" si="3"/>
        <v>40000</v>
      </c>
      <c r="J7" s="89">
        <f t="shared" si="1"/>
        <v>11219.17808219178</v>
      </c>
    </row>
    <row r="8" spans="1:12" ht="15.6" x14ac:dyDescent="0.3">
      <c r="A8" s="133">
        <v>6</v>
      </c>
      <c r="B8" s="95" t="s">
        <v>7</v>
      </c>
      <c r="C8" s="138"/>
      <c r="D8" s="166">
        <v>100000</v>
      </c>
      <c r="E8" s="96">
        <v>89</v>
      </c>
      <c r="F8" s="86">
        <v>10000</v>
      </c>
      <c r="G8" s="93">
        <f t="shared" si="0"/>
        <v>2438.3561643835615</v>
      </c>
      <c r="H8" s="93">
        <f t="shared" si="2"/>
        <v>12438.356164383562</v>
      </c>
      <c r="I8" s="86">
        <f t="shared" si="3"/>
        <v>90000</v>
      </c>
      <c r="J8" s="89">
        <f t="shared" si="1"/>
        <v>12438.356164383562</v>
      </c>
    </row>
    <row r="9" spans="1:12" ht="15.6" x14ac:dyDescent="0.3">
      <c r="A9" s="133">
        <v>7</v>
      </c>
      <c r="B9" s="95" t="s">
        <v>10</v>
      </c>
      <c r="C9" s="138">
        <v>20</v>
      </c>
      <c r="D9" s="123">
        <v>20000</v>
      </c>
      <c r="E9" s="96">
        <v>89</v>
      </c>
      <c r="F9" s="86">
        <v>10000</v>
      </c>
      <c r="G9" s="93">
        <f t="shared" si="0"/>
        <v>487.67123287671228</v>
      </c>
      <c r="H9" s="93">
        <f t="shared" si="2"/>
        <v>10487.671232876712</v>
      </c>
      <c r="I9" s="86">
        <f t="shared" si="3"/>
        <v>10000</v>
      </c>
      <c r="J9" s="89">
        <f t="shared" si="1"/>
        <v>10487.671232876712</v>
      </c>
    </row>
    <row r="10" spans="1:12" ht="15.6" x14ac:dyDescent="0.3">
      <c r="A10" s="133">
        <v>8</v>
      </c>
      <c r="B10" s="95" t="s">
        <v>53</v>
      </c>
      <c r="C10" s="138"/>
      <c r="D10" s="123">
        <v>60000</v>
      </c>
      <c r="E10" s="96">
        <v>89</v>
      </c>
      <c r="F10" s="86">
        <v>20000</v>
      </c>
      <c r="G10" s="93">
        <f t="shared" si="0"/>
        <v>1463.0136986301372</v>
      </c>
      <c r="H10" s="93">
        <f t="shared" si="2"/>
        <v>21463.013698630137</v>
      </c>
      <c r="I10" s="86">
        <f t="shared" si="3"/>
        <v>40000</v>
      </c>
      <c r="J10" s="89">
        <f t="shared" si="1"/>
        <v>21463.013698630137</v>
      </c>
    </row>
    <row r="11" spans="1:12" ht="15.6" x14ac:dyDescent="0.3">
      <c r="A11" s="133">
        <v>9</v>
      </c>
      <c r="B11" s="95" t="s">
        <v>50</v>
      </c>
      <c r="C11" s="138" t="s">
        <v>126</v>
      </c>
      <c r="D11" s="123">
        <v>60000</v>
      </c>
      <c r="E11" s="96">
        <v>89</v>
      </c>
      <c r="F11" s="86">
        <v>20000</v>
      </c>
      <c r="G11" s="93">
        <f t="shared" si="0"/>
        <v>1463.0136986301372</v>
      </c>
      <c r="H11" s="93">
        <f t="shared" si="2"/>
        <v>21463.013698630137</v>
      </c>
      <c r="I11" s="86">
        <f t="shared" si="3"/>
        <v>40000</v>
      </c>
      <c r="J11" s="89">
        <f t="shared" si="1"/>
        <v>21463.013698630137</v>
      </c>
    </row>
    <row r="12" spans="1:12" s="21" customFormat="1" ht="15.6" x14ac:dyDescent="0.3">
      <c r="A12" s="143">
        <v>10</v>
      </c>
      <c r="B12" s="95" t="s">
        <v>86</v>
      </c>
      <c r="C12" s="138" t="s">
        <v>129</v>
      </c>
      <c r="D12" s="144">
        <v>98000</v>
      </c>
      <c r="E12" s="145">
        <v>89</v>
      </c>
      <c r="F12" s="87">
        <v>20000</v>
      </c>
      <c r="G12" s="93">
        <f t="shared" si="0"/>
        <v>2389.5890410958905</v>
      </c>
      <c r="H12" s="93">
        <f t="shared" si="2"/>
        <v>22389.589041095889</v>
      </c>
      <c r="I12" s="87">
        <f t="shared" si="3"/>
        <v>78000</v>
      </c>
      <c r="J12" s="93">
        <f t="shared" si="1"/>
        <v>22389.589041095889</v>
      </c>
      <c r="K12" s="146"/>
    </row>
    <row r="13" spans="1:12" ht="15.6" x14ac:dyDescent="0.3">
      <c r="A13" s="133">
        <v>11</v>
      </c>
      <c r="B13" s="95" t="s">
        <v>30</v>
      </c>
      <c r="C13" s="138"/>
      <c r="D13" s="123">
        <v>20000</v>
      </c>
      <c r="E13" s="96">
        <v>89</v>
      </c>
      <c r="F13" s="86">
        <v>10000</v>
      </c>
      <c r="G13" s="93">
        <f t="shared" si="0"/>
        <v>487.67123287671228</v>
      </c>
      <c r="H13" s="93">
        <f t="shared" si="2"/>
        <v>10487.671232876712</v>
      </c>
      <c r="I13" s="86">
        <f t="shared" si="3"/>
        <v>10000</v>
      </c>
      <c r="J13" s="89">
        <f t="shared" si="1"/>
        <v>10487.671232876712</v>
      </c>
    </row>
    <row r="14" spans="1:12" ht="15.6" x14ac:dyDescent="0.3">
      <c r="A14" s="133">
        <v>12</v>
      </c>
      <c r="B14" s="95" t="s">
        <v>20</v>
      </c>
      <c r="C14" s="138"/>
      <c r="D14" s="123">
        <v>30000</v>
      </c>
      <c r="E14" s="96">
        <v>89</v>
      </c>
      <c r="F14" s="86">
        <v>10000</v>
      </c>
      <c r="G14" s="93">
        <f t="shared" si="0"/>
        <v>731.50684931506862</v>
      </c>
      <c r="H14" s="93">
        <f t="shared" si="2"/>
        <v>10731.506849315068</v>
      </c>
      <c r="I14" s="86">
        <f t="shared" si="3"/>
        <v>20000</v>
      </c>
      <c r="J14" s="89">
        <f t="shared" si="1"/>
        <v>10731.506849315068</v>
      </c>
    </row>
    <row r="15" spans="1:12" ht="15.6" x14ac:dyDescent="0.3">
      <c r="A15" s="133">
        <v>13</v>
      </c>
      <c r="B15" s="95" t="s">
        <v>47</v>
      </c>
      <c r="C15" s="138"/>
      <c r="D15" s="123">
        <v>78000</v>
      </c>
      <c r="E15" s="96">
        <v>89</v>
      </c>
      <c r="F15" s="86">
        <v>10000</v>
      </c>
      <c r="G15" s="93">
        <f t="shared" si="0"/>
        <v>1901.9178082191781</v>
      </c>
      <c r="H15" s="93">
        <f t="shared" si="2"/>
        <v>11901.917808219177</v>
      </c>
      <c r="I15" s="86">
        <f t="shared" si="3"/>
        <v>68000</v>
      </c>
      <c r="J15" s="89">
        <f t="shared" si="1"/>
        <v>11901.917808219177</v>
      </c>
    </row>
    <row r="16" spans="1:12" s="174" customFormat="1" ht="15" customHeight="1" x14ac:dyDescent="0.3">
      <c r="A16" s="133">
        <v>14</v>
      </c>
      <c r="B16" s="168" t="s">
        <v>9</v>
      </c>
      <c r="C16" s="169" t="s">
        <v>128</v>
      </c>
      <c r="D16" s="170">
        <v>59000</v>
      </c>
      <c r="E16" s="170">
        <v>89</v>
      </c>
      <c r="F16" s="171">
        <v>15000</v>
      </c>
      <c r="G16" s="172">
        <f t="shared" si="0"/>
        <v>1438.6301369863013</v>
      </c>
      <c r="H16" s="172">
        <f t="shared" si="2"/>
        <v>16438.630136986299</v>
      </c>
      <c r="I16" s="171">
        <f t="shared" si="3"/>
        <v>44000</v>
      </c>
      <c r="J16" s="173">
        <f t="shared" si="1"/>
        <v>16438.630136986299</v>
      </c>
    </row>
    <row r="17" spans="1:10" ht="15.6" x14ac:dyDescent="0.3">
      <c r="A17" s="133">
        <v>15</v>
      </c>
      <c r="B17" s="95" t="s">
        <v>16</v>
      </c>
      <c r="C17" s="138"/>
      <c r="D17" s="103">
        <v>20000</v>
      </c>
      <c r="E17" s="96">
        <v>89</v>
      </c>
      <c r="F17" s="86">
        <v>10000</v>
      </c>
      <c r="G17" s="93">
        <f t="shared" si="0"/>
        <v>487.67123287671228</v>
      </c>
      <c r="H17" s="93">
        <f t="shared" si="2"/>
        <v>10487.671232876712</v>
      </c>
      <c r="I17" s="86">
        <f t="shared" si="3"/>
        <v>10000</v>
      </c>
      <c r="J17" s="89">
        <f t="shared" si="1"/>
        <v>10487.671232876712</v>
      </c>
    </row>
    <row r="18" spans="1:10" ht="15.6" x14ac:dyDescent="0.3">
      <c r="A18" s="133">
        <v>16</v>
      </c>
      <c r="B18" s="95" t="s">
        <v>48</v>
      </c>
      <c r="C18" s="138"/>
      <c r="D18" s="103">
        <v>80000</v>
      </c>
      <c r="E18" s="96">
        <v>89</v>
      </c>
      <c r="F18" s="86">
        <v>20000</v>
      </c>
      <c r="G18" s="93">
        <f t="shared" si="0"/>
        <v>1950.6849315068491</v>
      </c>
      <c r="H18" s="93">
        <f t="shared" si="2"/>
        <v>21950.68493150685</v>
      </c>
      <c r="I18" s="86">
        <f t="shared" si="3"/>
        <v>60000</v>
      </c>
      <c r="J18" s="89">
        <f t="shared" si="1"/>
        <v>21950.68493150685</v>
      </c>
    </row>
    <row r="19" spans="1:10" ht="15.6" x14ac:dyDescent="0.3">
      <c r="A19" s="133">
        <v>17</v>
      </c>
      <c r="B19" s="104" t="s">
        <v>98</v>
      </c>
      <c r="C19" s="140"/>
      <c r="D19" s="167">
        <v>100000</v>
      </c>
      <c r="E19" s="96">
        <v>64</v>
      </c>
      <c r="F19" s="86">
        <v>10000</v>
      </c>
      <c r="G19" s="93">
        <f t="shared" si="0"/>
        <v>1753.4246575342465</v>
      </c>
      <c r="H19" s="93">
        <f t="shared" si="2"/>
        <v>11753.424657534246</v>
      </c>
      <c r="I19" s="86">
        <f t="shared" si="3"/>
        <v>90000</v>
      </c>
      <c r="J19" s="89">
        <f t="shared" si="1"/>
        <v>11753.424657534246</v>
      </c>
    </row>
    <row r="20" spans="1:10" ht="15.6" x14ac:dyDescent="0.3">
      <c r="A20" s="133">
        <v>18</v>
      </c>
      <c r="B20" s="84" t="s">
        <v>101</v>
      </c>
      <c r="C20" s="141"/>
      <c r="D20" s="96">
        <v>14208.8</v>
      </c>
      <c r="E20" s="96">
        <v>89</v>
      </c>
      <c r="F20" s="86">
        <v>0</v>
      </c>
      <c r="G20" s="93">
        <f t="shared" si="0"/>
        <v>346.46115068493151</v>
      </c>
      <c r="H20" s="93">
        <f t="shared" si="2"/>
        <v>346.46115068493151</v>
      </c>
      <c r="I20" s="86">
        <f t="shared" si="3"/>
        <v>14208.8</v>
      </c>
      <c r="J20" s="89">
        <f t="shared" si="1"/>
        <v>346.46115068493151</v>
      </c>
    </row>
    <row r="21" spans="1:10" ht="15.6" x14ac:dyDescent="0.3">
      <c r="A21" s="133">
        <v>20</v>
      </c>
      <c r="B21" s="95" t="s">
        <v>102</v>
      </c>
      <c r="C21" s="138"/>
      <c r="D21" s="103">
        <v>40000</v>
      </c>
      <c r="E21" s="96">
        <v>89</v>
      </c>
      <c r="F21" s="86">
        <v>10000</v>
      </c>
      <c r="G21" s="93">
        <f t="shared" si="0"/>
        <v>975.34246575342456</v>
      </c>
      <c r="H21" s="93">
        <f t="shared" si="2"/>
        <v>10975.342465753425</v>
      </c>
      <c r="I21" s="86">
        <f t="shared" si="3"/>
        <v>30000</v>
      </c>
      <c r="J21" s="89">
        <f t="shared" si="1"/>
        <v>10975.342465753425</v>
      </c>
    </row>
    <row r="22" spans="1:10" ht="15.6" x14ac:dyDescent="0.3">
      <c r="A22" s="133">
        <v>21</v>
      </c>
      <c r="B22" s="95" t="s">
        <v>103</v>
      </c>
      <c r="C22" s="139"/>
      <c r="D22" s="103">
        <v>120000</v>
      </c>
      <c r="E22" s="96">
        <v>89</v>
      </c>
      <c r="F22" s="86">
        <v>30000</v>
      </c>
      <c r="G22" s="93">
        <f>(D22*10%/365*E22)-164.23</f>
        <v>2761.7973972602745</v>
      </c>
      <c r="H22" s="111">
        <f t="shared" si="2"/>
        <v>32761.797397260274</v>
      </c>
      <c r="I22" s="86">
        <f t="shared" si="3"/>
        <v>90000</v>
      </c>
      <c r="J22" s="89">
        <f t="shared" si="1"/>
        <v>32761.797397260274</v>
      </c>
    </row>
    <row r="23" spans="1:10" ht="10.8" customHeight="1" x14ac:dyDescent="0.3">
      <c r="A23" s="133">
        <v>22</v>
      </c>
      <c r="B23" s="95" t="s">
        <v>31</v>
      </c>
      <c r="C23" s="138"/>
      <c r="D23" s="103">
        <v>140000</v>
      </c>
      <c r="E23" s="96">
        <v>47</v>
      </c>
      <c r="F23" s="86">
        <v>30000</v>
      </c>
      <c r="G23" s="93">
        <f>(D23*10%/365*E23)-164.23</f>
        <v>1638.5097260273972</v>
      </c>
      <c r="H23" s="93">
        <f t="shared" si="2"/>
        <v>31638.509726027398</v>
      </c>
      <c r="I23" s="86">
        <f t="shared" si="3"/>
        <v>110000</v>
      </c>
      <c r="J23" s="89">
        <f t="shared" si="1"/>
        <v>31638.509726027398</v>
      </c>
    </row>
    <row r="24" spans="1:10" ht="15.6" x14ac:dyDescent="0.3">
      <c r="A24" s="133">
        <v>23</v>
      </c>
      <c r="B24" s="95" t="s">
        <v>43</v>
      </c>
      <c r="C24" s="138"/>
      <c r="D24" s="103">
        <v>50000</v>
      </c>
      <c r="E24" s="96">
        <v>128</v>
      </c>
      <c r="F24" s="86">
        <v>0</v>
      </c>
      <c r="G24" s="93">
        <f>(D24*10%/365*E24)</f>
        <v>1753.4246575342465</v>
      </c>
      <c r="H24" s="93">
        <f t="shared" si="2"/>
        <v>1753.4246575342465</v>
      </c>
      <c r="I24" s="86">
        <f t="shared" si="3"/>
        <v>50000</v>
      </c>
      <c r="J24" s="89">
        <f t="shared" si="1"/>
        <v>1753.4246575342465</v>
      </c>
    </row>
    <row r="25" spans="1:10" ht="15.6" x14ac:dyDescent="0.3">
      <c r="A25" s="133">
        <v>24</v>
      </c>
      <c r="B25" s="95" t="s">
        <v>10</v>
      </c>
      <c r="C25" s="138"/>
      <c r="D25" s="103">
        <v>30000</v>
      </c>
      <c r="E25" s="96">
        <v>35</v>
      </c>
      <c r="F25" s="86">
        <v>0</v>
      </c>
      <c r="G25" s="93">
        <f>(D25*10%/365*E25)</f>
        <v>287.67123287671234</v>
      </c>
      <c r="H25" s="93">
        <f t="shared" si="2"/>
        <v>287.67123287671234</v>
      </c>
      <c r="I25" s="86">
        <f t="shared" si="3"/>
        <v>30000</v>
      </c>
      <c r="J25" s="89">
        <f t="shared" si="1"/>
        <v>287.67123287671234</v>
      </c>
    </row>
    <row r="26" spans="1:10" ht="15.6" x14ac:dyDescent="0.3">
      <c r="A26" s="133"/>
      <c r="B26" s="84"/>
      <c r="C26" s="141"/>
      <c r="D26" s="129">
        <f>SUM(D3:D25)</f>
        <v>1414208.8</v>
      </c>
      <c r="E26" s="129">
        <f t="shared" ref="E26:J26" si="4">SUM(E4:E24)</f>
        <v>1841</v>
      </c>
      <c r="F26" s="115">
        <f>SUM(F4:F24)</f>
        <v>295000</v>
      </c>
      <c r="G26" s="116">
        <f t="shared" si="4"/>
        <v>29711.151835616445</v>
      </c>
      <c r="H26" s="116">
        <f t="shared" si="4"/>
        <v>324711.15183561645</v>
      </c>
      <c r="I26" s="117">
        <f t="shared" si="4"/>
        <v>1009208.8</v>
      </c>
      <c r="J26" s="116">
        <f t="shared" si="4"/>
        <v>324711.15183561645</v>
      </c>
    </row>
    <row r="27" spans="1:10" x14ac:dyDescent="0.3">
      <c r="G27" s="147"/>
      <c r="H27" s="147"/>
      <c r="I27" s="151"/>
      <c r="J27" s="148"/>
    </row>
    <row r="28" spans="1:10" x14ac:dyDescent="0.3">
      <c r="H28" s="48"/>
      <c r="I28" s="152"/>
      <c r="J28" s="22"/>
    </row>
    <row r="29" spans="1:10" x14ac:dyDescent="0.3">
      <c r="H29" s="48"/>
      <c r="I29" s="153"/>
    </row>
  </sheetData>
  <mergeCells count="2">
    <mergeCell ref="B1:B2"/>
    <mergeCell ref="D1:J1"/>
  </mergeCells>
  <pageMargins left="0.25" right="0.25" top="0.75" bottom="0.75" header="0.3" footer="0.3"/>
  <pageSetup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topLeftCell="A43" workbookViewId="0">
      <selection activeCell="D55" sqref="D55"/>
    </sheetView>
  </sheetViews>
  <sheetFormatPr defaultRowHeight="21" customHeight="1" x14ac:dyDescent="0.3"/>
  <cols>
    <col min="1" max="1" width="4.5546875" customWidth="1"/>
    <col min="2" max="2" width="20.21875" customWidth="1"/>
    <col min="3" max="3" width="11.88671875" customWidth="1"/>
    <col min="4" max="4" width="13.88671875" customWidth="1"/>
    <col min="5" max="5" width="9.6640625" customWidth="1"/>
    <col min="6" max="6" width="12.33203125" customWidth="1"/>
  </cols>
  <sheetData>
    <row r="1" spans="1:10" ht="21" customHeight="1" x14ac:dyDescent="0.35">
      <c r="A1" s="154"/>
      <c r="B1" s="187" t="s">
        <v>125</v>
      </c>
      <c r="C1" s="187"/>
      <c r="D1" s="187"/>
      <c r="E1" s="187"/>
      <c r="F1" s="187"/>
      <c r="G1" s="187"/>
      <c r="H1" s="187"/>
      <c r="I1" s="187"/>
      <c r="J1" s="187"/>
    </row>
    <row r="2" spans="1:10" ht="47.4" customHeight="1" x14ac:dyDescent="0.35">
      <c r="A2" s="155" t="s">
        <v>0</v>
      </c>
      <c r="B2" s="155" t="s">
        <v>1</v>
      </c>
      <c r="C2" s="156" t="s">
        <v>133</v>
      </c>
      <c r="D2" s="156" t="s">
        <v>134</v>
      </c>
      <c r="E2" s="157" t="s">
        <v>124</v>
      </c>
      <c r="F2" s="158" t="s">
        <v>132</v>
      </c>
      <c r="G2" s="159"/>
      <c r="H2" s="160"/>
      <c r="I2" s="160"/>
      <c r="J2" s="161"/>
    </row>
    <row r="3" spans="1:10" ht="21" customHeight="1" x14ac:dyDescent="0.35">
      <c r="A3" s="155">
        <v>1</v>
      </c>
      <c r="B3" s="155" t="s">
        <v>6</v>
      </c>
      <c r="C3" s="161">
        <v>35150</v>
      </c>
      <c r="D3" s="161">
        <v>890</v>
      </c>
      <c r="E3" s="161">
        <v>6000</v>
      </c>
      <c r="F3" s="161">
        <f>SUM(E3+D3+C3)</f>
        <v>42040</v>
      </c>
      <c r="G3" s="160"/>
      <c r="H3" s="160"/>
      <c r="I3" s="160"/>
      <c r="J3" s="155"/>
    </row>
    <row r="4" spans="1:10" ht="21" customHeight="1" x14ac:dyDescent="0.35">
      <c r="A4" s="155">
        <v>2</v>
      </c>
      <c r="B4" s="155" t="s">
        <v>17</v>
      </c>
      <c r="C4" s="161">
        <v>35150</v>
      </c>
      <c r="D4" s="161">
        <v>890</v>
      </c>
      <c r="E4" s="161">
        <v>6000</v>
      </c>
      <c r="F4" s="161">
        <f t="shared" ref="F4:F51" si="0">SUM(E4+D4+C4)</f>
        <v>42040</v>
      </c>
      <c r="G4" s="160"/>
      <c r="H4" s="160"/>
      <c r="I4" s="160"/>
      <c r="J4" s="155"/>
    </row>
    <row r="5" spans="1:10" ht="21" customHeight="1" x14ac:dyDescent="0.35">
      <c r="A5" s="155">
        <v>3</v>
      </c>
      <c r="B5" s="155" t="s">
        <v>11</v>
      </c>
      <c r="C5" s="161">
        <v>35150</v>
      </c>
      <c r="D5" s="161">
        <v>890</v>
      </c>
      <c r="E5" s="161">
        <v>6000</v>
      </c>
      <c r="F5" s="161">
        <f t="shared" si="0"/>
        <v>42040</v>
      </c>
      <c r="G5" s="160"/>
      <c r="H5" s="160"/>
      <c r="I5" s="160"/>
      <c r="J5" s="155"/>
    </row>
    <row r="6" spans="1:10" ht="21" customHeight="1" x14ac:dyDescent="0.35">
      <c r="A6" s="155">
        <v>4</v>
      </c>
      <c r="B6" s="155" t="s">
        <v>51</v>
      </c>
      <c r="C6" s="161">
        <v>35150</v>
      </c>
      <c r="D6" s="161">
        <v>890</v>
      </c>
      <c r="E6" s="161">
        <v>6000</v>
      </c>
      <c r="F6" s="161">
        <f t="shared" si="0"/>
        <v>42040</v>
      </c>
      <c r="G6" s="160"/>
      <c r="H6" s="160"/>
      <c r="I6" s="160"/>
      <c r="J6" s="155"/>
    </row>
    <row r="7" spans="1:10" ht="21" customHeight="1" x14ac:dyDescent="0.35">
      <c r="A7" s="155">
        <v>5</v>
      </c>
      <c r="B7" s="155" t="s">
        <v>59</v>
      </c>
      <c r="C7" s="161">
        <v>35150</v>
      </c>
      <c r="D7" s="161">
        <v>890</v>
      </c>
      <c r="E7" s="161">
        <v>6000</v>
      </c>
      <c r="F7" s="161">
        <f t="shared" si="0"/>
        <v>42040</v>
      </c>
      <c r="G7" s="160"/>
      <c r="H7" s="160"/>
      <c r="I7" s="160"/>
      <c r="J7" s="155"/>
    </row>
    <row r="8" spans="1:10" ht="21" customHeight="1" x14ac:dyDescent="0.35">
      <c r="A8" s="155">
        <v>6</v>
      </c>
      <c r="B8" s="155" t="s">
        <v>15</v>
      </c>
      <c r="C8" s="161">
        <v>35150</v>
      </c>
      <c r="D8" s="161">
        <v>890</v>
      </c>
      <c r="E8" s="161">
        <v>6000</v>
      </c>
      <c r="F8" s="161">
        <f t="shared" si="0"/>
        <v>42040</v>
      </c>
      <c r="G8" s="160"/>
      <c r="H8" s="160"/>
      <c r="I8" s="160"/>
      <c r="J8" s="155"/>
    </row>
    <row r="9" spans="1:10" ht="21" customHeight="1" x14ac:dyDescent="0.35">
      <c r="A9" s="155">
        <v>7</v>
      </c>
      <c r="B9" s="155" t="s">
        <v>34</v>
      </c>
      <c r="C9" s="161">
        <v>35150</v>
      </c>
      <c r="D9" s="161">
        <v>890</v>
      </c>
      <c r="E9" s="161">
        <v>6000</v>
      </c>
      <c r="F9" s="161">
        <f t="shared" si="0"/>
        <v>42040</v>
      </c>
      <c r="G9" s="160"/>
      <c r="H9" s="160"/>
      <c r="I9" s="160"/>
      <c r="J9" s="155"/>
    </row>
    <row r="10" spans="1:10" ht="21" customHeight="1" x14ac:dyDescent="0.35">
      <c r="A10" s="155">
        <v>8</v>
      </c>
      <c r="B10" s="155" t="s">
        <v>26</v>
      </c>
      <c r="C10" s="161">
        <v>35150</v>
      </c>
      <c r="D10" s="161">
        <v>890</v>
      </c>
      <c r="E10" s="161">
        <v>6000</v>
      </c>
      <c r="F10" s="161">
        <f t="shared" si="0"/>
        <v>42040</v>
      </c>
      <c r="G10" s="160"/>
      <c r="H10" s="160"/>
      <c r="I10" s="160"/>
      <c r="J10" s="155"/>
    </row>
    <row r="11" spans="1:10" ht="21" customHeight="1" x14ac:dyDescent="0.35">
      <c r="A11" s="155">
        <v>9</v>
      </c>
      <c r="B11" s="155" t="s">
        <v>46</v>
      </c>
      <c r="C11" s="161">
        <v>35150</v>
      </c>
      <c r="D11" s="161">
        <v>890</v>
      </c>
      <c r="E11" s="161">
        <v>6000</v>
      </c>
      <c r="F11" s="161">
        <f t="shared" si="0"/>
        <v>42040</v>
      </c>
      <c r="G11" s="160"/>
      <c r="H11" s="160"/>
      <c r="I11" s="160"/>
      <c r="J11" s="155"/>
    </row>
    <row r="12" spans="1:10" ht="21" customHeight="1" x14ac:dyDescent="0.35">
      <c r="A12" s="155">
        <v>10</v>
      </c>
      <c r="B12" s="155" t="s">
        <v>43</v>
      </c>
      <c r="C12" s="161">
        <v>35150</v>
      </c>
      <c r="D12" s="161">
        <v>890</v>
      </c>
      <c r="E12" s="161">
        <v>6000</v>
      </c>
      <c r="F12" s="161">
        <f t="shared" si="0"/>
        <v>42040</v>
      </c>
      <c r="G12" s="160"/>
      <c r="H12" s="160"/>
      <c r="I12" s="160"/>
      <c r="J12" s="155"/>
    </row>
    <row r="13" spans="1:10" ht="21" customHeight="1" x14ac:dyDescent="0.35">
      <c r="A13" s="155">
        <v>11</v>
      </c>
      <c r="B13" s="155" t="s">
        <v>24</v>
      </c>
      <c r="C13" s="161">
        <v>35150</v>
      </c>
      <c r="D13" s="161">
        <v>890</v>
      </c>
      <c r="E13" s="161">
        <v>6000</v>
      </c>
      <c r="F13" s="161">
        <f t="shared" si="0"/>
        <v>42040</v>
      </c>
      <c r="G13" s="160"/>
      <c r="H13" s="160"/>
      <c r="I13" s="160"/>
      <c r="J13" s="155"/>
    </row>
    <row r="14" spans="1:10" ht="21" customHeight="1" x14ac:dyDescent="0.35">
      <c r="A14" s="155">
        <v>12</v>
      </c>
      <c r="B14" s="155" t="s">
        <v>27</v>
      </c>
      <c r="C14" s="161">
        <v>35150</v>
      </c>
      <c r="D14" s="161">
        <v>890</v>
      </c>
      <c r="E14" s="161">
        <v>6000</v>
      </c>
      <c r="F14" s="161">
        <f t="shared" si="0"/>
        <v>42040</v>
      </c>
      <c r="G14" s="160"/>
      <c r="H14" s="160"/>
      <c r="I14" s="160"/>
      <c r="J14" s="155"/>
    </row>
    <row r="15" spans="1:10" ht="21" customHeight="1" x14ac:dyDescent="0.35">
      <c r="A15" s="155">
        <v>13</v>
      </c>
      <c r="B15" s="155" t="s">
        <v>36</v>
      </c>
      <c r="C15" s="161">
        <v>35150</v>
      </c>
      <c r="D15" s="161">
        <v>890</v>
      </c>
      <c r="E15" s="161">
        <v>6000</v>
      </c>
      <c r="F15" s="161">
        <f t="shared" si="0"/>
        <v>42040</v>
      </c>
      <c r="G15" s="160"/>
      <c r="H15" s="160"/>
      <c r="I15" s="160"/>
      <c r="J15" s="155"/>
    </row>
    <row r="16" spans="1:10" ht="21" customHeight="1" x14ac:dyDescent="0.35">
      <c r="A16" s="155">
        <v>14</v>
      </c>
      <c r="B16" s="155" t="s">
        <v>31</v>
      </c>
      <c r="C16" s="161">
        <v>35150</v>
      </c>
      <c r="D16" s="161">
        <v>890</v>
      </c>
      <c r="E16" s="161">
        <v>6000</v>
      </c>
      <c r="F16" s="161">
        <f t="shared" si="0"/>
        <v>42040</v>
      </c>
      <c r="G16" s="160"/>
      <c r="H16" s="160"/>
      <c r="I16" s="160"/>
      <c r="J16" s="155"/>
    </row>
    <row r="17" spans="1:10" ht="21" customHeight="1" x14ac:dyDescent="0.35">
      <c r="A17" s="155">
        <v>15</v>
      </c>
      <c r="B17" s="155" t="s">
        <v>14</v>
      </c>
      <c r="C17" s="161">
        <v>35150</v>
      </c>
      <c r="D17" s="161">
        <v>890</v>
      </c>
      <c r="E17" s="161">
        <v>6000</v>
      </c>
      <c r="F17" s="161">
        <f t="shared" si="0"/>
        <v>42040</v>
      </c>
      <c r="G17" s="160"/>
      <c r="H17" s="160"/>
      <c r="I17" s="160"/>
      <c r="J17" s="155"/>
    </row>
    <row r="18" spans="1:10" ht="21" customHeight="1" x14ac:dyDescent="0.35">
      <c r="A18" s="155">
        <v>16</v>
      </c>
      <c r="B18" s="155" t="s">
        <v>19</v>
      </c>
      <c r="C18" s="161">
        <v>35150</v>
      </c>
      <c r="D18" s="161">
        <v>890</v>
      </c>
      <c r="E18" s="161">
        <v>6000</v>
      </c>
      <c r="F18" s="161">
        <f t="shared" si="0"/>
        <v>42040</v>
      </c>
      <c r="G18" s="160"/>
      <c r="H18" s="160"/>
      <c r="I18" s="160"/>
      <c r="J18" s="155"/>
    </row>
    <row r="19" spans="1:10" ht="21" customHeight="1" x14ac:dyDescent="0.35">
      <c r="A19" s="155">
        <v>17</v>
      </c>
      <c r="B19" s="155" t="s">
        <v>23</v>
      </c>
      <c r="C19" s="161">
        <v>35150</v>
      </c>
      <c r="D19" s="161">
        <v>890</v>
      </c>
      <c r="E19" s="161">
        <v>6000</v>
      </c>
      <c r="F19" s="161">
        <f t="shared" si="0"/>
        <v>42040</v>
      </c>
      <c r="G19" s="160"/>
      <c r="H19" s="160"/>
      <c r="I19" s="160"/>
      <c r="J19" s="155"/>
    </row>
    <row r="20" spans="1:10" ht="21" customHeight="1" x14ac:dyDescent="0.35">
      <c r="A20" s="155">
        <v>18</v>
      </c>
      <c r="B20" s="155" t="s">
        <v>45</v>
      </c>
      <c r="C20" s="161">
        <v>35150</v>
      </c>
      <c r="D20" s="161">
        <v>890</v>
      </c>
      <c r="E20" s="161">
        <v>6000</v>
      </c>
      <c r="F20" s="161">
        <f t="shared" si="0"/>
        <v>42040</v>
      </c>
      <c r="G20" s="160"/>
      <c r="H20" s="160"/>
      <c r="I20" s="160"/>
      <c r="J20" s="155"/>
    </row>
    <row r="21" spans="1:10" ht="21" customHeight="1" x14ac:dyDescent="0.35">
      <c r="A21" s="155">
        <v>19</v>
      </c>
      <c r="B21" s="155" t="s">
        <v>49</v>
      </c>
      <c r="C21" s="161">
        <v>35150</v>
      </c>
      <c r="D21" s="161">
        <v>890</v>
      </c>
      <c r="E21" s="161">
        <v>6000</v>
      </c>
      <c r="F21" s="161">
        <f t="shared" si="0"/>
        <v>42040</v>
      </c>
      <c r="G21" s="160"/>
      <c r="H21" s="160"/>
      <c r="I21" s="160"/>
      <c r="J21" s="155"/>
    </row>
    <row r="22" spans="1:10" ht="21" customHeight="1" x14ac:dyDescent="0.35">
      <c r="A22" s="155">
        <v>20</v>
      </c>
      <c r="B22" s="155" t="s">
        <v>22</v>
      </c>
      <c r="C22" s="161">
        <v>35150</v>
      </c>
      <c r="D22" s="161">
        <v>890</v>
      </c>
      <c r="E22" s="161">
        <v>6000</v>
      </c>
      <c r="F22" s="161">
        <f t="shared" si="0"/>
        <v>42040</v>
      </c>
      <c r="G22" s="160"/>
      <c r="H22" s="160"/>
      <c r="I22" s="160"/>
      <c r="J22" s="155"/>
    </row>
    <row r="23" spans="1:10" ht="21" customHeight="1" x14ac:dyDescent="0.35">
      <c r="A23" s="155">
        <v>21</v>
      </c>
      <c r="B23" s="155" t="s">
        <v>44</v>
      </c>
      <c r="C23" s="161">
        <v>35150</v>
      </c>
      <c r="D23" s="161">
        <v>890</v>
      </c>
      <c r="E23" s="161">
        <v>6000</v>
      </c>
      <c r="F23" s="161">
        <f t="shared" si="0"/>
        <v>42040</v>
      </c>
      <c r="G23" s="160"/>
      <c r="H23" s="160"/>
      <c r="I23" s="160"/>
      <c r="J23" s="155"/>
    </row>
    <row r="24" spans="1:10" ht="21" customHeight="1" x14ac:dyDescent="0.35">
      <c r="A24" s="155">
        <v>22</v>
      </c>
      <c r="B24" s="155" t="s">
        <v>33</v>
      </c>
      <c r="C24" s="161">
        <v>35150</v>
      </c>
      <c r="D24" s="161">
        <v>890</v>
      </c>
      <c r="E24" s="161">
        <v>6000</v>
      </c>
      <c r="F24" s="161">
        <f t="shared" si="0"/>
        <v>42040</v>
      </c>
      <c r="G24" s="160"/>
      <c r="H24" s="160"/>
      <c r="I24" s="160"/>
      <c r="J24" s="155"/>
    </row>
    <row r="25" spans="1:10" ht="21" customHeight="1" x14ac:dyDescent="0.35">
      <c r="A25" s="155">
        <v>23</v>
      </c>
      <c r="B25" s="155" t="s">
        <v>41</v>
      </c>
      <c r="C25" s="161">
        <v>35150</v>
      </c>
      <c r="D25" s="161">
        <v>890</v>
      </c>
      <c r="E25" s="161">
        <v>6000</v>
      </c>
      <c r="F25" s="161">
        <f t="shared" si="0"/>
        <v>42040</v>
      </c>
      <c r="G25" s="160"/>
      <c r="H25" s="160"/>
      <c r="I25" s="160"/>
      <c r="J25" s="155"/>
    </row>
    <row r="26" spans="1:10" ht="21" customHeight="1" x14ac:dyDescent="0.35">
      <c r="A26" s="155">
        <v>24</v>
      </c>
      <c r="B26" s="155" t="s">
        <v>29</v>
      </c>
      <c r="C26" s="161">
        <v>35150</v>
      </c>
      <c r="D26" s="161">
        <v>890</v>
      </c>
      <c r="E26" s="161">
        <v>6000</v>
      </c>
      <c r="F26" s="161">
        <f t="shared" si="0"/>
        <v>42040</v>
      </c>
      <c r="G26" s="160"/>
      <c r="H26" s="160"/>
      <c r="I26" s="160"/>
      <c r="J26" s="155"/>
    </row>
    <row r="27" spans="1:10" ht="21" customHeight="1" x14ac:dyDescent="0.35">
      <c r="A27" s="155">
        <v>25</v>
      </c>
      <c r="B27" s="155" t="s">
        <v>42</v>
      </c>
      <c r="C27" s="161">
        <v>35150</v>
      </c>
      <c r="D27" s="161">
        <v>890</v>
      </c>
      <c r="E27" s="161">
        <v>6000</v>
      </c>
      <c r="F27" s="161">
        <f t="shared" si="0"/>
        <v>42040</v>
      </c>
      <c r="G27" s="160"/>
      <c r="H27" s="160"/>
      <c r="I27" s="160"/>
      <c r="J27" s="155"/>
    </row>
    <row r="28" spans="1:10" ht="21" customHeight="1" x14ac:dyDescent="0.35">
      <c r="A28" s="155">
        <v>26</v>
      </c>
      <c r="B28" s="155" t="s">
        <v>7</v>
      </c>
      <c r="C28" s="161">
        <v>35150</v>
      </c>
      <c r="D28" s="161">
        <v>890</v>
      </c>
      <c r="E28" s="161">
        <v>6000</v>
      </c>
      <c r="F28" s="161">
        <f t="shared" si="0"/>
        <v>42040</v>
      </c>
      <c r="G28" s="160"/>
      <c r="H28" s="160"/>
      <c r="I28" s="160"/>
      <c r="J28" s="155"/>
    </row>
    <row r="29" spans="1:10" ht="21" customHeight="1" x14ac:dyDescent="0.35">
      <c r="A29" s="155">
        <v>27</v>
      </c>
      <c r="B29" s="155" t="s">
        <v>10</v>
      </c>
      <c r="C29" s="161">
        <v>35150</v>
      </c>
      <c r="D29" s="161">
        <v>890</v>
      </c>
      <c r="E29" s="161">
        <v>6000</v>
      </c>
      <c r="F29" s="161">
        <f t="shared" si="0"/>
        <v>42040</v>
      </c>
      <c r="G29" s="160"/>
      <c r="H29" s="160"/>
      <c r="I29" s="160"/>
      <c r="J29" s="155"/>
    </row>
    <row r="30" spans="1:10" ht="21" customHeight="1" x14ac:dyDescent="0.35">
      <c r="A30" s="155">
        <v>28</v>
      </c>
      <c r="B30" s="155" t="s">
        <v>25</v>
      </c>
      <c r="C30" s="161">
        <v>35150</v>
      </c>
      <c r="D30" s="161">
        <v>890</v>
      </c>
      <c r="E30" s="161">
        <v>6000</v>
      </c>
      <c r="F30" s="161">
        <f t="shared" si="0"/>
        <v>42040</v>
      </c>
      <c r="G30" s="160"/>
      <c r="H30" s="160"/>
      <c r="I30" s="160"/>
      <c r="J30" s="155"/>
    </row>
    <row r="31" spans="1:10" ht="21" customHeight="1" x14ac:dyDescent="0.35">
      <c r="A31" s="155">
        <v>29</v>
      </c>
      <c r="B31" s="155" t="s">
        <v>21</v>
      </c>
      <c r="C31" s="161">
        <v>35150</v>
      </c>
      <c r="D31" s="161">
        <v>890</v>
      </c>
      <c r="E31" s="161">
        <v>6000</v>
      </c>
      <c r="F31" s="161">
        <f t="shared" si="0"/>
        <v>42040</v>
      </c>
      <c r="G31" s="160"/>
      <c r="H31" s="160"/>
      <c r="I31" s="160"/>
      <c r="J31" s="155"/>
    </row>
    <row r="32" spans="1:10" ht="21" customHeight="1" x14ac:dyDescent="0.35">
      <c r="A32" s="155">
        <v>30</v>
      </c>
      <c r="B32" s="155" t="s">
        <v>18</v>
      </c>
      <c r="C32" s="161">
        <v>35150</v>
      </c>
      <c r="D32" s="161">
        <v>890</v>
      </c>
      <c r="E32" s="161">
        <v>6000</v>
      </c>
      <c r="F32" s="161">
        <f t="shared" si="0"/>
        <v>42040</v>
      </c>
      <c r="G32" s="160"/>
      <c r="H32" s="160"/>
      <c r="I32" s="160"/>
      <c r="J32" s="155"/>
    </row>
    <row r="33" spans="1:10" ht="21" customHeight="1" x14ac:dyDescent="0.35">
      <c r="A33" s="155">
        <v>31</v>
      </c>
      <c r="B33" s="155" t="s">
        <v>53</v>
      </c>
      <c r="C33" s="161">
        <v>35150</v>
      </c>
      <c r="D33" s="161">
        <v>890</v>
      </c>
      <c r="E33" s="161">
        <v>6000</v>
      </c>
      <c r="F33" s="161">
        <f t="shared" si="0"/>
        <v>42040</v>
      </c>
      <c r="G33" s="160"/>
      <c r="H33" s="160"/>
      <c r="I33" s="160"/>
      <c r="J33" s="155"/>
    </row>
    <row r="34" spans="1:10" ht="21" customHeight="1" x14ac:dyDescent="0.35">
      <c r="A34" s="155">
        <v>32</v>
      </c>
      <c r="B34" s="155" t="s">
        <v>50</v>
      </c>
      <c r="C34" s="161">
        <v>35150</v>
      </c>
      <c r="D34" s="161">
        <v>890</v>
      </c>
      <c r="E34" s="161">
        <v>6000</v>
      </c>
      <c r="F34" s="161">
        <f t="shared" si="0"/>
        <v>42040</v>
      </c>
      <c r="G34" s="160"/>
      <c r="H34" s="160"/>
      <c r="I34" s="160"/>
      <c r="J34" s="155"/>
    </row>
    <row r="35" spans="1:10" ht="21" customHeight="1" x14ac:dyDescent="0.35">
      <c r="A35" s="155">
        <v>33</v>
      </c>
      <c r="B35" s="155" t="s">
        <v>40</v>
      </c>
      <c r="C35" s="161">
        <v>35150</v>
      </c>
      <c r="D35" s="161">
        <v>890</v>
      </c>
      <c r="E35" s="161">
        <v>6000</v>
      </c>
      <c r="F35" s="161">
        <f t="shared" si="0"/>
        <v>42040</v>
      </c>
      <c r="G35" s="160"/>
      <c r="H35" s="160"/>
      <c r="I35" s="160"/>
      <c r="J35" s="155"/>
    </row>
    <row r="36" spans="1:10" ht="21" customHeight="1" x14ac:dyDescent="0.35">
      <c r="A36" s="155">
        <v>34</v>
      </c>
      <c r="B36" s="155" t="s">
        <v>39</v>
      </c>
      <c r="C36" s="161">
        <v>35150</v>
      </c>
      <c r="D36" s="161">
        <v>890</v>
      </c>
      <c r="E36" s="161">
        <v>6000</v>
      </c>
      <c r="F36" s="161">
        <f t="shared" si="0"/>
        <v>42040</v>
      </c>
      <c r="G36" s="160"/>
      <c r="H36" s="160"/>
      <c r="I36" s="160"/>
      <c r="J36" s="155"/>
    </row>
    <row r="37" spans="1:10" ht="21" customHeight="1" x14ac:dyDescent="0.35">
      <c r="A37" s="155">
        <v>35</v>
      </c>
      <c r="B37" s="155" t="s">
        <v>30</v>
      </c>
      <c r="C37" s="161">
        <v>35150</v>
      </c>
      <c r="D37" s="161">
        <v>890</v>
      </c>
      <c r="E37" s="161">
        <v>6000</v>
      </c>
      <c r="F37" s="161">
        <f t="shared" si="0"/>
        <v>42040</v>
      </c>
      <c r="G37" s="160"/>
      <c r="H37" s="160"/>
      <c r="I37" s="160"/>
      <c r="J37" s="155"/>
    </row>
    <row r="38" spans="1:10" ht="21" customHeight="1" x14ac:dyDescent="0.35">
      <c r="A38" s="155">
        <v>36</v>
      </c>
      <c r="B38" s="155" t="s">
        <v>8</v>
      </c>
      <c r="C38" s="161">
        <v>35150</v>
      </c>
      <c r="D38" s="161">
        <v>890</v>
      </c>
      <c r="E38" s="161">
        <v>6000</v>
      </c>
      <c r="F38" s="161">
        <f t="shared" si="0"/>
        <v>42040</v>
      </c>
      <c r="G38" s="160"/>
      <c r="H38" s="160"/>
      <c r="I38" s="160"/>
      <c r="J38" s="155"/>
    </row>
    <row r="39" spans="1:10" ht="21" customHeight="1" x14ac:dyDescent="0.35">
      <c r="A39" s="155">
        <v>37</v>
      </c>
      <c r="B39" s="155" t="s">
        <v>20</v>
      </c>
      <c r="C39" s="161">
        <v>35150</v>
      </c>
      <c r="D39" s="161">
        <v>890</v>
      </c>
      <c r="E39" s="161">
        <v>6000</v>
      </c>
      <c r="F39" s="161">
        <f t="shared" si="0"/>
        <v>42040</v>
      </c>
      <c r="G39" s="160"/>
      <c r="H39" s="160"/>
      <c r="I39" s="160"/>
      <c r="J39" s="155"/>
    </row>
    <row r="40" spans="1:10" ht="21" customHeight="1" x14ac:dyDescent="0.35">
      <c r="A40" s="155">
        <v>38</v>
      </c>
      <c r="B40" s="155" t="s">
        <v>47</v>
      </c>
      <c r="C40" s="161">
        <v>35150</v>
      </c>
      <c r="D40" s="161">
        <v>890</v>
      </c>
      <c r="E40" s="161">
        <v>6000</v>
      </c>
      <c r="F40" s="161">
        <f t="shared" si="0"/>
        <v>42040</v>
      </c>
      <c r="G40" s="160"/>
      <c r="H40" s="160"/>
      <c r="I40" s="160"/>
      <c r="J40" s="155"/>
    </row>
    <row r="41" spans="1:10" ht="21" customHeight="1" x14ac:dyDescent="0.35">
      <c r="A41" s="155">
        <v>39</v>
      </c>
      <c r="B41" s="155" t="s">
        <v>37</v>
      </c>
      <c r="C41" s="161">
        <v>35150</v>
      </c>
      <c r="D41" s="161">
        <v>890</v>
      </c>
      <c r="E41" s="161">
        <v>6000</v>
      </c>
      <c r="F41" s="161">
        <f t="shared" si="0"/>
        <v>42040</v>
      </c>
      <c r="G41" s="160"/>
      <c r="H41" s="160"/>
      <c r="I41" s="160"/>
      <c r="J41" s="155"/>
    </row>
    <row r="42" spans="1:10" ht="21" customHeight="1" x14ac:dyDescent="0.35">
      <c r="A42" s="155">
        <v>40</v>
      </c>
      <c r="B42" s="155" t="s">
        <v>9</v>
      </c>
      <c r="C42" s="161">
        <v>35150</v>
      </c>
      <c r="D42" s="161">
        <v>890</v>
      </c>
      <c r="E42" s="161">
        <v>6000</v>
      </c>
      <c r="F42" s="161">
        <f t="shared" si="0"/>
        <v>42040</v>
      </c>
      <c r="G42" s="160"/>
      <c r="H42" s="160"/>
      <c r="I42" s="160"/>
      <c r="J42" s="155"/>
    </row>
    <row r="43" spans="1:10" ht="21" customHeight="1" x14ac:dyDescent="0.35">
      <c r="A43" s="155">
        <v>41</v>
      </c>
      <c r="B43" s="155" t="s">
        <v>48</v>
      </c>
      <c r="C43" s="161">
        <v>35150</v>
      </c>
      <c r="D43" s="161">
        <v>890</v>
      </c>
      <c r="E43" s="161">
        <v>6000</v>
      </c>
      <c r="F43" s="161">
        <f t="shared" si="0"/>
        <v>42040</v>
      </c>
      <c r="G43" s="160"/>
      <c r="H43" s="160"/>
      <c r="I43" s="160"/>
      <c r="J43" s="155"/>
    </row>
    <row r="44" spans="1:10" ht="21" customHeight="1" x14ac:dyDescent="0.35">
      <c r="A44" s="155">
        <v>42</v>
      </c>
      <c r="B44" s="155" t="s">
        <v>35</v>
      </c>
      <c r="C44" s="161">
        <v>35150</v>
      </c>
      <c r="D44" s="161">
        <v>890</v>
      </c>
      <c r="E44" s="161">
        <v>6000</v>
      </c>
      <c r="F44" s="161">
        <f t="shared" si="0"/>
        <v>42040</v>
      </c>
      <c r="G44" s="160"/>
      <c r="H44" s="160"/>
      <c r="I44" s="160"/>
      <c r="J44" s="155"/>
    </row>
    <row r="45" spans="1:10" ht="21" customHeight="1" x14ac:dyDescent="0.35">
      <c r="A45" s="155">
        <v>43</v>
      </c>
      <c r="B45" s="155" t="s">
        <v>32</v>
      </c>
      <c r="C45" s="161">
        <v>35150</v>
      </c>
      <c r="D45" s="161">
        <v>890</v>
      </c>
      <c r="E45" s="161">
        <v>6000</v>
      </c>
      <c r="F45" s="161">
        <f t="shared" si="0"/>
        <v>42040</v>
      </c>
      <c r="G45" s="160"/>
      <c r="H45" s="160"/>
      <c r="I45" s="160"/>
      <c r="J45" s="155"/>
    </row>
    <row r="46" spans="1:10" ht="21" customHeight="1" x14ac:dyDescent="0.35">
      <c r="A46" s="155">
        <v>44</v>
      </c>
      <c r="B46" s="155" t="s">
        <v>38</v>
      </c>
      <c r="C46" s="161">
        <v>35150</v>
      </c>
      <c r="D46" s="161">
        <v>890</v>
      </c>
      <c r="E46" s="161">
        <v>6000</v>
      </c>
      <c r="F46" s="161">
        <f t="shared" si="0"/>
        <v>42040</v>
      </c>
      <c r="G46" s="160"/>
      <c r="H46" s="160"/>
      <c r="I46" s="160"/>
      <c r="J46" s="155"/>
    </row>
    <row r="47" spans="1:10" ht="21" customHeight="1" x14ac:dyDescent="0.35">
      <c r="A47" s="155">
        <v>45</v>
      </c>
      <c r="B47" s="155" t="s">
        <v>28</v>
      </c>
      <c r="C47" s="161">
        <v>35150</v>
      </c>
      <c r="D47" s="161">
        <v>890</v>
      </c>
      <c r="E47" s="161">
        <v>6000</v>
      </c>
      <c r="F47" s="161">
        <f t="shared" si="0"/>
        <v>42040</v>
      </c>
      <c r="G47" s="160"/>
      <c r="H47" s="160"/>
      <c r="I47" s="160"/>
      <c r="J47" s="155"/>
    </row>
    <row r="48" spans="1:10" ht="21" customHeight="1" x14ac:dyDescent="0.35">
      <c r="A48" s="155">
        <v>46</v>
      </c>
      <c r="B48" s="155" t="s">
        <v>12</v>
      </c>
      <c r="C48" s="161">
        <v>35150</v>
      </c>
      <c r="D48" s="161">
        <v>890</v>
      </c>
      <c r="E48" s="161">
        <v>6000</v>
      </c>
      <c r="F48" s="161">
        <f t="shared" si="0"/>
        <v>42040</v>
      </c>
      <c r="G48" s="160"/>
      <c r="H48" s="160"/>
      <c r="I48" s="160"/>
      <c r="J48" s="155"/>
    </row>
    <row r="49" spans="1:10" ht="21" customHeight="1" x14ac:dyDescent="0.35">
      <c r="A49" s="155">
        <v>47</v>
      </c>
      <c r="B49" s="155" t="s">
        <v>16</v>
      </c>
      <c r="C49" s="161">
        <v>35150</v>
      </c>
      <c r="D49" s="161">
        <v>890</v>
      </c>
      <c r="E49" s="161">
        <v>6000</v>
      </c>
      <c r="F49" s="161">
        <f t="shared" si="0"/>
        <v>42040</v>
      </c>
      <c r="G49" s="160"/>
      <c r="H49" s="160"/>
      <c r="I49" s="160"/>
      <c r="J49" s="155"/>
    </row>
    <row r="50" spans="1:10" ht="21" customHeight="1" x14ac:dyDescent="0.35">
      <c r="A50" s="155">
        <v>48</v>
      </c>
      <c r="B50" s="155" t="s">
        <v>101</v>
      </c>
      <c r="C50" s="161">
        <v>35150</v>
      </c>
      <c r="D50" s="161">
        <v>890</v>
      </c>
      <c r="E50" s="161">
        <v>6000</v>
      </c>
      <c r="F50" s="161">
        <f t="shared" si="0"/>
        <v>42040</v>
      </c>
      <c r="G50" s="162"/>
      <c r="H50" s="162"/>
      <c r="I50" s="163"/>
      <c r="J50" s="164"/>
    </row>
    <row r="51" spans="1:10" ht="21" customHeight="1" x14ac:dyDescent="0.35">
      <c r="A51" s="155">
        <v>49</v>
      </c>
      <c r="B51" s="155" t="s">
        <v>103</v>
      </c>
      <c r="C51" s="161">
        <v>35150</v>
      </c>
      <c r="D51" s="161">
        <v>890</v>
      </c>
      <c r="E51" s="161">
        <v>6000</v>
      </c>
      <c r="F51" s="161">
        <f t="shared" si="0"/>
        <v>42040</v>
      </c>
      <c r="G51" s="160"/>
      <c r="H51" s="162"/>
      <c r="I51" s="162"/>
      <c r="J51" s="164"/>
    </row>
    <row r="52" spans="1:10" ht="21" customHeight="1" x14ac:dyDescent="0.35">
      <c r="A52" s="165"/>
      <c r="B52" s="165"/>
      <c r="C52" s="161">
        <f t="shared" ref="C52:E52" si="1">SUM(C3:C51)</f>
        <v>1722350</v>
      </c>
      <c r="D52" s="161">
        <f t="shared" si="1"/>
        <v>43610</v>
      </c>
      <c r="E52" s="161">
        <f t="shared" si="1"/>
        <v>294000</v>
      </c>
      <c r="F52" s="161">
        <f>SUM(F3:F51)</f>
        <v>2059960</v>
      </c>
      <c r="G52" s="165"/>
      <c r="H52" s="165"/>
      <c r="I52" s="165"/>
      <c r="J52" s="165"/>
    </row>
    <row r="53" spans="1:10" ht="21" customHeight="1" x14ac:dyDescent="0.35">
      <c r="A53" s="165"/>
      <c r="B53" s="165"/>
      <c r="C53" s="165"/>
      <c r="D53" s="165"/>
      <c r="E53" s="165"/>
      <c r="F53" s="161">
        <f>SUM(C52:E52)</f>
        <v>2059960</v>
      </c>
      <c r="G53" s="165"/>
      <c r="H53" s="165"/>
      <c r="I53" s="165"/>
      <c r="J53" s="165"/>
    </row>
  </sheetData>
  <mergeCells count="1">
    <mergeCell ref="B1:J1"/>
  </mergeCells>
  <pageMargins left="0.7" right="0.7" top="0.75" bottom="0.75" header="0.3" footer="0.3"/>
  <pageSetup scale="83" fitToWidth="0" fitToHeight="0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0"/>
  <sheetViews>
    <sheetView workbookViewId="0">
      <selection activeCell="H11" sqref="H11"/>
    </sheetView>
  </sheetViews>
  <sheetFormatPr defaultRowHeight="14.4" x14ac:dyDescent="0.3"/>
  <cols>
    <col min="3" max="3" width="11.109375" customWidth="1"/>
  </cols>
  <sheetData>
    <row r="2" spans="2:5" x14ac:dyDescent="0.3">
      <c r="C2" t="s">
        <v>136</v>
      </c>
    </row>
    <row r="3" spans="2:5" x14ac:dyDescent="0.3">
      <c r="B3" t="s">
        <v>135</v>
      </c>
      <c r="C3" s="13">
        <v>4586.8</v>
      </c>
    </row>
    <row r="4" spans="2:5" x14ac:dyDescent="0.3">
      <c r="C4" s="13">
        <v>10621.9</v>
      </c>
    </row>
    <row r="5" spans="2:5" x14ac:dyDescent="0.3">
      <c r="C5" s="4">
        <v>12460</v>
      </c>
    </row>
    <row r="6" spans="2:5" ht="15.6" x14ac:dyDescent="0.3">
      <c r="C6" s="74">
        <v>25369.86</v>
      </c>
    </row>
    <row r="7" spans="2:5" x14ac:dyDescent="0.3">
      <c r="C7" s="1">
        <v>34002.32</v>
      </c>
      <c r="D7" s="149">
        <f>SUM(C3:C7)</f>
        <v>87040.88</v>
      </c>
      <c r="E7">
        <f>(D7/50)</f>
        <v>1740.8176000000001</v>
      </c>
    </row>
    <row r="8" spans="2:5" x14ac:dyDescent="0.3">
      <c r="C8" s="1">
        <v>43609.78</v>
      </c>
    </row>
    <row r="9" spans="2:5" x14ac:dyDescent="0.3">
      <c r="C9" s="150">
        <f>SUM(C3:C8)</f>
        <v>130650.66</v>
      </c>
    </row>
    <row r="10" spans="2:5" x14ac:dyDescent="0.3">
      <c r="B10" s="22"/>
      <c r="C10" s="22">
        <f>(C9/49)</f>
        <v>2666.34</v>
      </c>
      <c r="E10" s="81">
        <f>(43609.78/49)</f>
        <v>889.9955102040816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20" sqref="A1:XFD104857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2026-04-15T05:16:30Z</dcterms:modified>
</cp:coreProperties>
</file>